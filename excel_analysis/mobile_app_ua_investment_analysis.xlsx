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elo\Documents\CV\Data Analytics Projects\Product Data Analysis\"/>
    </mc:Choice>
  </mc:AlternateContent>
  <xr:revisionPtr revIDLastSave="0" documentId="13_ncr:1_{B6E3F81C-6378-4BF5-A8AE-D837DC101DBB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Cleaned Data" sheetId="1" r:id="rId1"/>
    <sheet name="UA Investment Analysis" sheetId="2" r:id="rId2"/>
    <sheet name="Simplified Performance Table" sheetId="3" r:id="rId3"/>
    <sheet name="Data" sheetId="5" state="hidden" r:id="rId4"/>
  </sheets>
  <definedNames>
    <definedName name="_xlnm._FilterDatabase" localSheetId="0" hidden="1">'Cleaned Data'!$A$3:$P$3</definedName>
    <definedName name="_xlnm._FilterDatabase" localSheetId="3" hidden="1">Data!$B$24:$D$29</definedName>
    <definedName name="_xlnm._FilterDatabase" localSheetId="2" hidden="1">'Simplified Performance Table'!$A$2:$H$7</definedName>
    <definedName name="_xlnm._FilterDatabase" localSheetId="1" hidden="1">'UA Investment Analysis'!$J$17:$L$30</definedName>
  </definedNames>
  <calcPr calcId="191029"/>
  <pivotCaches>
    <pivotCache cacheId="1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4" i="1"/>
  <c r="G7" i="3"/>
  <c r="G6" i="3"/>
  <c r="G5" i="3"/>
  <c r="G4" i="3"/>
  <c r="G3" i="3"/>
  <c r="E7" i="3"/>
  <c r="D40" i="5" s="1"/>
  <c r="E6" i="3"/>
  <c r="D38" i="5" s="1"/>
  <c r="E5" i="3"/>
  <c r="F5" i="3" s="1"/>
  <c r="D37" i="5" s="1"/>
  <c r="E4" i="3"/>
  <c r="F4" i="3" s="1"/>
  <c r="D35" i="5" s="1"/>
  <c r="E3" i="3"/>
  <c r="F3" i="3" s="1"/>
  <c r="D33" i="5" s="1"/>
  <c r="B7" i="3"/>
  <c r="C7" i="3" s="1"/>
  <c r="B6" i="3"/>
  <c r="C6" i="3" s="1"/>
  <c r="B5" i="3"/>
  <c r="C5" i="3" s="1"/>
  <c r="B4" i="3"/>
  <c r="C4" i="3" s="1"/>
  <c r="B3" i="3"/>
  <c r="C3" i="3" s="1"/>
  <c r="K22" i="2"/>
  <c r="K21" i="2"/>
  <c r="K20" i="2"/>
  <c r="K19" i="2"/>
  <c r="K18" i="2"/>
  <c r="I41" i="1"/>
  <c r="L203" i="1"/>
  <c r="K203" i="1"/>
  <c r="J203" i="1"/>
  <c r="N203" i="1" s="1"/>
  <c r="I203" i="1"/>
  <c r="L202" i="1"/>
  <c r="K202" i="1"/>
  <c r="J202" i="1"/>
  <c r="N202" i="1" s="1"/>
  <c r="I202" i="1"/>
  <c r="L201" i="1"/>
  <c r="K201" i="1"/>
  <c r="J201" i="1"/>
  <c r="N201" i="1" s="1"/>
  <c r="I201" i="1"/>
  <c r="L200" i="1"/>
  <c r="K200" i="1"/>
  <c r="J200" i="1"/>
  <c r="N200" i="1" s="1"/>
  <c r="I200" i="1"/>
  <c r="L199" i="1"/>
  <c r="K199" i="1"/>
  <c r="J199" i="1"/>
  <c r="N199" i="1" s="1"/>
  <c r="I199" i="1"/>
  <c r="L198" i="1"/>
  <c r="K198" i="1"/>
  <c r="J198" i="1"/>
  <c r="N198" i="1" s="1"/>
  <c r="I198" i="1"/>
  <c r="L197" i="1"/>
  <c r="K197" i="1"/>
  <c r="J197" i="1"/>
  <c r="N197" i="1" s="1"/>
  <c r="I197" i="1"/>
  <c r="O197" i="1" s="1"/>
  <c r="L196" i="1"/>
  <c r="K196" i="1"/>
  <c r="J196" i="1"/>
  <c r="N196" i="1" s="1"/>
  <c r="I196" i="1"/>
  <c r="L195" i="1"/>
  <c r="K195" i="1"/>
  <c r="J195" i="1"/>
  <c r="N195" i="1" s="1"/>
  <c r="I195" i="1"/>
  <c r="L194" i="1"/>
  <c r="K194" i="1"/>
  <c r="J194" i="1"/>
  <c r="N194" i="1" s="1"/>
  <c r="I194" i="1"/>
  <c r="L193" i="1"/>
  <c r="K193" i="1"/>
  <c r="J193" i="1"/>
  <c r="N193" i="1" s="1"/>
  <c r="I193" i="1"/>
  <c r="L192" i="1"/>
  <c r="K192" i="1"/>
  <c r="J192" i="1"/>
  <c r="N192" i="1" s="1"/>
  <c r="I192" i="1"/>
  <c r="L191" i="1"/>
  <c r="K191" i="1"/>
  <c r="J191" i="1"/>
  <c r="N191" i="1" s="1"/>
  <c r="I191" i="1"/>
  <c r="L190" i="1"/>
  <c r="K190" i="1"/>
  <c r="J190" i="1"/>
  <c r="N190" i="1" s="1"/>
  <c r="I190" i="1"/>
  <c r="L189" i="1"/>
  <c r="K189" i="1"/>
  <c r="J189" i="1"/>
  <c r="N189" i="1" s="1"/>
  <c r="I189" i="1"/>
  <c r="L188" i="1"/>
  <c r="K188" i="1"/>
  <c r="J188" i="1"/>
  <c r="N188" i="1" s="1"/>
  <c r="I188" i="1"/>
  <c r="L187" i="1"/>
  <c r="K187" i="1"/>
  <c r="J187" i="1"/>
  <c r="N187" i="1" s="1"/>
  <c r="I187" i="1"/>
  <c r="L186" i="1"/>
  <c r="K186" i="1"/>
  <c r="J186" i="1"/>
  <c r="N186" i="1" s="1"/>
  <c r="I186" i="1"/>
  <c r="L185" i="1"/>
  <c r="K185" i="1"/>
  <c r="J185" i="1"/>
  <c r="N185" i="1" s="1"/>
  <c r="I185" i="1"/>
  <c r="L184" i="1"/>
  <c r="K184" i="1"/>
  <c r="J184" i="1"/>
  <c r="N184" i="1" s="1"/>
  <c r="I184" i="1"/>
  <c r="L183" i="1"/>
  <c r="K183" i="1"/>
  <c r="J183" i="1"/>
  <c r="N183" i="1" s="1"/>
  <c r="I183" i="1"/>
  <c r="L182" i="1"/>
  <c r="K182" i="1"/>
  <c r="J182" i="1"/>
  <c r="N182" i="1" s="1"/>
  <c r="I182" i="1"/>
  <c r="L181" i="1"/>
  <c r="K181" i="1"/>
  <c r="J181" i="1"/>
  <c r="N181" i="1" s="1"/>
  <c r="I181" i="1"/>
  <c r="L180" i="1"/>
  <c r="K180" i="1"/>
  <c r="J180" i="1"/>
  <c r="N180" i="1" s="1"/>
  <c r="I180" i="1"/>
  <c r="L179" i="1"/>
  <c r="K179" i="1"/>
  <c r="J179" i="1"/>
  <c r="N179" i="1" s="1"/>
  <c r="I179" i="1"/>
  <c r="L178" i="1"/>
  <c r="K178" i="1"/>
  <c r="J178" i="1"/>
  <c r="N178" i="1" s="1"/>
  <c r="I178" i="1"/>
  <c r="L177" i="1"/>
  <c r="K177" i="1"/>
  <c r="J177" i="1"/>
  <c r="N177" i="1" s="1"/>
  <c r="I177" i="1"/>
  <c r="L176" i="1"/>
  <c r="K176" i="1"/>
  <c r="J176" i="1"/>
  <c r="N176" i="1" s="1"/>
  <c r="I176" i="1"/>
  <c r="O176" i="1" s="1"/>
  <c r="L175" i="1"/>
  <c r="K175" i="1"/>
  <c r="J175" i="1"/>
  <c r="N175" i="1" s="1"/>
  <c r="I175" i="1"/>
  <c r="L174" i="1"/>
  <c r="K174" i="1"/>
  <c r="J174" i="1"/>
  <c r="N174" i="1" s="1"/>
  <c r="I174" i="1"/>
  <c r="L173" i="1"/>
  <c r="K173" i="1"/>
  <c r="J173" i="1"/>
  <c r="N173" i="1" s="1"/>
  <c r="I173" i="1"/>
  <c r="O173" i="1" s="1"/>
  <c r="L172" i="1"/>
  <c r="K172" i="1"/>
  <c r="J172" i="1"/>
  <c r="N172" i="1" s="1"/>
  <c r="I172" i="1"/>
  <c r="L171" i="1"/>
  <c r="K171" i="1"/>
  <c r="J171" i="1"/>
  <c r="N171" i="1" s="1"/>
  <c r="I171" i="1"/>
  <c r="L170" i="1"/>
  <c r="K170" i="1"/>
  <c r="J170" i="1"/>
  <c r="N170" i="1" s="1"/>
  <c r="I170" i="1"/>
  <c r="L169" i="1"/>
  <c r="K169" i="1"/>
  <c r="J169" i="1"/>
  <c r="N169" i="1" s="1"/>
  <c r="I169" i="1"/>
  <c r="L168" i="1"/>
  <c r="K168" i="1"/>
  <c r="J168" i="1"/>
  <c r="N168" i="1" s="1"/>
  <c r="I168" i="1"/>
  <c r="L167" i="1"/>
  <c r="K167" i="1"/>
  <c r="J167" i="1"/>
  <c r="N167" i="1" s="1"/>
  <c r="I167" i="1"/>
  <c r="L166" i="1"/>
  <c r="K166" i="1"/>
  <c r="J166" i="1"/>
  <c r="N166" i="1" s="1"/>
  <c r="I166" i="1"/>
  <c r="L165" i="1"/>
  <c r="K165" i="1"/>
  <c r="J165" i="1"/>
  <c r="N165" i="1" s="1"/>
  <c r="I165" i="1"/>
  <c r="L164" i="1"/>
  <c r="K164" i="1"/>
  <c r="J164" i="1"/>
  <c r="N164" i="1" s="1"/>
  <c r="I164" i="1"/>
  <c r="L163" i="1"/>
  <c r="K163" i="1"/>
  <c r="J163" i="1"/>
  <c r="N163" i="1" s="1"/>
  <c r="I163" i="1"/>
  <c r="L162" i="1"/>
  <c r="K162" i="1"/>
  <c r="J162" i="1"/>
  <c r="N162" i="1" s="1"/>
  <c r="I162" i="1"/>
  <c r="L161" i="1"/>
  <c r="K161" i="1"/>
  <c r="J161" i="1"/>
  <c r="N161" i="1" s="1"/>
  <c r="I161" i="1"/>
  <c r="L160" i="1"/>
  <c r="K160" i="1"/>
  <c r="J160" i="1"/>
  <c r="N160" i="1" s="1"/>
  <c r="I160" i="1"/>
  <c r="L159" i="1"/>
  <c r="K159" i="1"/>
  <c r="J159" i="1"/>
  <c r="N159" i="1" s="1"/>
  <c r="I159" i="1"/>
  <c r="L158" i="1"/>
  <c r="K158" i="1"/>
  <c r="J158" i="1"/>
  <c r="N158" i="1" s="1"/>
  <c r="I158" i="1"/>
  <c r="L157" i="1"/>
  <c r="K157" i="1"/>
  <c r="J157" i="1"/>
  <c r="N157" i="1" s="1"/>
  <c r="I157" i="1"/>
  <c r="L156" i="1"/>
  <c r="K156" i="1"/>
  <c r="J156" i="1"/>
  <c r="N156" i="1" s="1"/>
  <c r="I156" i="1"/>
  <c r="L155" i="1"/>
  <c r="K155" i="1"/>
  <c r="J155" i="1"/>
  <c r="N155" i="1" s="1"/>
  <c r="I155" i="1"/>
  <c r="L154" i="1"/>
  <c r="K154" i="1"/>
  <c r="J154" i="1"/>
  <c r="N154" i="1" s="1"/>
  <c r="I154" i="1"/>
  <c r="L153" i="1"/>
  <c r="K153" i="1"/>
  <c r="J153" i="1"/>
  <c r="N153" i="1" s="1"/>
  <c r="I153" i="1"/>
  <c r="L152" i="1"/>
  <c r="K152" i="1"/>
  <c r="J152" i="1"/>
  <c r="N152" i="1" s="1"/>
  <c r="I152" i="1"/>
  <c r="L151" i="1"/>
  <c r="K151" i="1"/>
  <c r="J151" i="1"/>
  <c r="N151" i="1" s="1"/>
  <c r="I151" i="1"/>
  <c r="L150" i="1"/>
  <c r="K150" i="1"/>
  <c r="J150" i="1"/>
  <c r="N150" i="1" s="1"/>
  <c r="I150" i="1"/>
  <c r="L149" i="1"/>
  <c r="K149" i="1"/>
  <c r="J149" i="1"/>
  <c r="N149" i="1" s="1"/>
  <c r="I149" i="1"/>
  <c r="L148" i="1"/>
  <c r="K148" i="1"/>
  <c r="J148" i="1"/>
  <c r="N148" i="1" s="1"/>
  <c r="I148" i="1"/>
  <c r="L147" i="1"/>
  <c r="K147" i="1"/>
  <c r="J147" i="1"/>
  <c r="N147" i="1" s="1"/>
  <c r="I147" i="1"/>
  <c r="L146" i="1"/>
  <c r="K146" i="1"/>
  <c r="J146" i="1"/>
  <c r="N146" i="1" s="1"/>
  <c r="I146" i="1"/>
  <c r="L145" i="1"/>
  <c r="K145" i="1"/>
  <c r="J145" i="1"/>
  <c r="N145" i="1" s="1"/>
  <c r="I145" i="1"/>
  <c r="L144" i="1"/>
  <c r="K144" i="1"/>
  <c r="J144" i="1"/>
  <c r="N144" i="1" s="1"/>
  <c r="I144" i="1"/>
  <c r="L143" i="1"/>
  <c r="K143" i="1"/>
  <c r="J143" i="1"/>
  <c r="N143" i="1" s="1"/>
  <c r="I143" i="1"/>
  <c r="L142" i="1"/>
  <c r="K142" i="1"/>
  <c r="J142" i="1"/>
  <c r="N142" i="1" s="1"/>
  <c r="I142" i="1"/>
  <c r="L141" i="1"/>
  <c r="K141" i="1"/>
  <c r="J141" i="1"/>
  <c r="N141" i="1" s="1"/>
  <c r="I141" i="1"/>
  <c r="L140" i="1"/>
  <c r="K140" i="1"/>
  <c r="J140" i="1"/>
  <c r="N140" i="1" s="1"/>
  <c r="I140" i="1"/>
  <c r="L139" i="1"/>
  <c r="K139" i="1"/>
  <c r="J139" i="1"/>
  <c r="N139" i="1" s="1"/>
  <c r="I139" i="1"/>
  <c r="L138" i="1"/>
  <c r="K138" i="1"/>
  <c r="J138" i="1"/>
  <c r="N138" i="1" s="1"/>
  <c r="I138" i="1"/>
  <c r="L137" i="1"/>
  <c r="K137" i="1"/>
  <c r="J137" i="1"/>
  <c r="N137" i="1" s="1"/>
  <c r="I137" i="1"/>
  <c r="L136" i="1"/>
  <c r="K136" i="1"/>
  <c r="J136" i="1"/>
  <c r="N136" i="1" s="1"/>
  <c r="I136" i="1"/>
  <c r="L135" i="1"/>
  <c r="K135" i="1"/>
  <c r="J135" i="1"/>
  <c r="N135" i="1" s="1"/>
  <c r="I135" i="1"/>
  <c r="L134" i="1"/>
  <c r="K134" i="1"/>
  <c r="J134" i="1"/>
  <c r="N134" i="1" s="1"/>
  <c r="I134" i="1"/>
  <c r="L133" i="1"/>
  <c r="K133" i="1"/>
  <c r="J133" i="1"/>
  <c r="N133" i="1" s="1"/>
  <c r="I133" i="1"/>
  <c r="L132" i="1"/>
  <c r="K132" i="1"/>
  <c r="J132" i="1"/>
  <c r="N132" i="1" s="1"/>
  <c r="I132" i="1"/>
  <c r="L131" i="1"/>
  <c r="K131" i="1"/>
  <c r="J131" i="1"/>
  <c r="N131" i="1" s="1"/>
  <c r="I131" i="1"/>
  <c r="L130" i="1"/>
  <c r="K130" i="1"/>
  <c r="J130" i="1"/>
  <c r="N130" i="1" s="1"/>
  <c r="I130" i="1"/>
  <c r="L129" i="1"/>
  <c r="K129" i="1"/>
  <c r="J129" i="1"/>
  <c r="N129" i="1" s="1"/>
  <c r="I129" i="1"/>
  <c r="L128" i="1"/>
  <c r="K128" i="1"/>
  <c r="J128" i="1"/>
  <c r="N128" i="1" s="1"/>
  <c r="I128" i="1"/>
  <c r="L127" i="1"/>
  <c r="K127" i="1"/>
  <c r="J127" i="1"/>
  <c r="N127" i="1" s="1"/>
  <c r="I127" i="1"/>
  <c r="L126" i="1"/>
  <c r="K126" i="1"/>
  <c r="J126" i="1"/>
  <c r="N126" i="1" s="1"/>
  <c r="I126" i="1"/>
  <c r="L125" i="1"/>
  <c r="K125" i="1"/>
  <c r="J125" i="1"/>
  <c r="N125" i="1" s="1"/>
  <c r="I125" i="1"/>
  <c r="L124" i="1"/>
  <c r="K124" i="1"/>
  <c r="J124" i="1"/>
  <c r="N124" i="1" s="1"/>
  <c r="I124" i="1"/>
  <c r="L123" i="1"/>
  <c r="K123" i="1"/>
  <c r="J123" i="1"/>
  <c r="N123" i="1" s="1"/>
  <c r="I123" i="1"/>
  <c r="L122" i="1"/>
  <c r="K122" i="1"/>
  <c r="J122" i="1"/>
  <c r="N122" i="1" s="1"/>
  <c r="I122" i="1"/>
  <c r="L121" i="1"/>
  <c r="K121" i="1"/>
  <c r="J121" i="1"/>
  <c r="N121" i="1" s="1"/>
  <c r="I121" i="1"/>
  <c r="L120" i="1"/>
  <c r="K120" i="1"/>
  <c r="J120" i="1"/>
  <c r="N120" i="1" s="1"/>
  <c r="I120" i="1"/>
  <c r="L119" i="1"/>
  <c r="K119" i="1"/>
  <c r="J119" i="1"/>
  <c r="N119" i="1" s="1"/>
  <c r="I119" i="1"/>
  <c r="L118" i="1"/>
  <c r="K118" i="1"/>
  <c r="J118" i="1"/>
  <c r="N118" i="1" s="1"/>
  <c r="I118" i="1"/>
  <c r="L117" i="1"/>
  <c r="K117" i="1"/>
  <c r="J117" i="1"/>
  <c r="N117" i="1" s="1"/>
  <c r="I117" i="1"/>
  <c r="L116" i="1"/>
  <c r="K116" i="1"/>
  <c r="J116" i="1"/>
  <c r="N116" i="1" s="1"/>
  <c r="I116" i="1"/>
  <c r="L115" i="1"/>
  <c r="K115" i="1"/>
  <c r="J115" i="1"/>
  <c r="N115" i="1" s="1"/>
  <c r="I115" i="1"/>
  <c r="L114" i="1"/>
  <c r="K114" i="1"/>
  <c r="J114" i="1"/>
  <c r="N114" i="1" s="1"/>
  <c r="I114" i="1"/>
  <c r="L113" i="1"/>
  <c r="K113" i="1"/>
  <c r="J113" i="1"/>
  <c r="N113" i="1" s="1"/>
  <c r="I113" i="1"/>
  <c r="L112" i="1"/>
  <c r="K112" i="1"/>
  <c r="J112" i="1"/>
  <c r="N112" i="1" s="1"/>
  <c r="I112" i="1"/>
  <c r="L111" i="1"/>
  <c r="K111" i="1"/>
  <c r="J111" i="1"/>
  <c r="N111" i="1" s="1"/>
  <c r="I111" i="1"/>
  <c r="L110" i="1"/>
  <c r="K110" i="1"/>
  <c r="J110" i="1"/>
  <c r="N110" i="1" s="1"/>
  <c r="I110" i="1"/>
  <c r="L109" i="1"/>
  <c r="K109" i="1"/>
  <c r="J109" i="1"/>
  <c r="N109" i="1" s="1"/>
  <c r="I109" i="1"/>
  <c r="L108" i="1"/>
  <c r="K108" i="1"/>
  <c r="J108" i="1"/>
  <c r="N108" i="1" s="1"/>
  <c r="I108" i="1"/>
  <c r="L107" i="1"/>
  <c r="K107" i="1"/>
  <c r="J107" i="1"/>
  <c r="N107" i="1" s="1"/>
  <c r="I107" i="1"/>
  <c r="L106" i="1"/>
  <c r="K106" i="1"/>
  <c r="J106" i="1"/>
  <c r="N106" i="1" s="1"/>
  <c r="I106" i="1"/>
  <c r="L105" i="1"/>
  <c r="K105" i="1"/>
  <c r="J105" i="1"/>
  <c r="N105" i="1" s="1"/>
  <c r="I105" i="1"/>
  <c r="L104" i="1"/>
  <c r="K104" i="1"/>
  <c r="J104" i="1"/>
  <c r="N104" i="1" s="1"/>
  <c r="I104" i="1"/>
  <c r="L103" i="1"/>
  <c r="K103" i="1"/>
  <c r="J103" i="1"/>
  <c r="N103" i="1" s="1"/>
  <c r="I103" i="1"/>
  <c r="L102" i="1"/>
  <c r="K102" i="1"/>
  <c r="J102" i="1"/>
  <c r="N102" i="1" s="1"/>
  <c r="I102" i="1"/>
  <c r="L101" i="1"/>
  <c r="K101" i="1"/>
  <c r="J101" i="1"/>
  <c r="N101" i="1" s="1"/>
  <c r="I101" i="1"/>
  <c r="L100" i="1"/>
  <c r="K100" i="1"/>
  <c r="J100" i="1"/>
  <c r="N100" i="1" s="1"/>
  <c r="I100" i="1"/>
  <c r="L99" i="1"/>
  <c r="K99" i="1"/>
  <c r="J99" i="1"/>
  <c r="N99" i="1" s="1"/>
  <c r="I99" i="1"/>
  <c r="L98" i="1"/>
  <c r="K98" i="1"/>
  <c r="J98" i="1"/>
  <c r="N98" i="1" s="1"/>
  <c r="I98" i="1"/>
  <c r="L97" i="1"/>
  <c r="K97" i="1"/>
  <c r="J97" i="1"/>
  <c r="N97" i="1" s="1"/>
  <c r="I97" i="1"/>
  <c r="L96" i="1"/>
  <c r="K96" i="1"/>
  <c r="J96" i="1"/>
  <c r="N96" i="1" s="1"/>
  <c r="I96" i="1"/>
  <c r="O96" i="1" s="1"/>
  <c r="L95" i="1"/>
  <c r="K95" i="1"/>
  <c r="J95" i="1"/>
  <c r="N95" i="1" s="1"/>
  <c r="I95" i="1"/>
  <c r="L94" i="1"/>
  <c r="K94" i="1"/>
  <c r="J94" i="1"/>
  <c r="N94" i="1" s="1"/>
  <c r="I94" i="1"/>
  <c r="L93" i="1"/>
  <c r="K93" i="1"/>
  <c r="J93" i="1"/>
  <c r="N93" i="1" s="1"/>
  <c r="I93" i="1"/>
  <c r="L92" i="1"/>
  <c r="K92" i="1"/>
  <c r="J92" i="1"/>
  <c r="N92" i="1" s="1"/>
  <c r="I92" i="1"/>
  <c r="L91" i="1"/>
  <c r="K91" i="1"/>
  <c r="J91" i="1"/>
  <c r="N91" i="1" s="1"/>
  <c r="I91" i="1"/>
  <c r="L90" i="1"/>
  <c r="K90" i="1"/>
  <c r="J90" i="1"/>
  <c r="N90" i="1" s="1"/>
  <c r="I90" i="1"/>
  <c r="L89" i="1"/>
  <c r="K89" i="1"/>
  <c r="J89" i="1"/>
  <c r="N89" i="1" s="1"/>
  <c r="I89" i="1"/>
  <c r="L88" i="1"/>
  <c r="K88" i="1"/>
  <c r="J88" i="1"/>
  <c r="N88" i="1" s="1"/>
  <c r="I88" i="1"/>
  <c r="L87" i="1"/>
  <c r="K87" i="1"/>
  <c r="J87" i="1"/>
  <c r="N87" i="1" s="1"/>
  <c r="I87" i="1"/>
  <c r="L86" i="1"/>
  <c r="K86" i="1"/>
  <c r="J86" i="1"/>
  <c r="N86" i="1" s="1"/>
  <c r="I86" i="1"/>
  <c r="L85" i="1"/>
  <c r="K85" i="1"/>
  <c r="J85" i="1"/>
  <c r="N85" i="1" s="1"/>
  <c r="I85" i="1"/>
  <c r="L84" i="1"/>
  <c r="K84" i="1"/>
  <c r="J84" i="1"/>
  <c r="N84" i="1" s="1"/>
  <c r="I84" i="1"/>
  <c r="L83" i="1"/>
  <c r="K83" i="1"/>
  <c r="J83" i="1"/>
  <c r="N83" i="1" s="1"/>
  <c r="I83" i="1"/>
  <c r="L82" i="1"/>
  <c r="K82" i="1"/>
  <c r="J82" i="1"/>
  <c r="N82" i="1" s="1"/>
  <c r="I82" i="1"/>
  <c r="L81" i="1"/>
  <c r="K81" i="1"/>
  <c r="J81" i="1"/>
  <c r="N81" i="1" s="1"/>
  <c r="I81" i="1"/>
  <c r="L80" i="1"/>
  <c r="K80" i="1"/>
  <c r="J80" i="1"/>
  <c r="N80" i="1" s="1"/>
  <c r="I80" i="1"/>
  <c r="L79" i="1"/>
  <c r="K79" i="1"/>
  <c r="J79" i="1"/>
  <c r="N79" i="1" s="1"/>
  <c r="I79" i="1"/>
  <c r="L78" i="1"/>
  <c r="K78" i="1"/>
  <c r="J78" i="1"/>
  <c r="N78" i="1" s="1"/>
  <c r="I78" i="1"/>
  <c r="L77" i="1"/>
  <c r="K77" i="1"/>
  <c r="J77" i="1"/>
  <c r="N77" i="1" s="1"/>
  <c r="I77" i="1"/>
  <c r="L76" i="1"/>
  <c r="K76" i="1"/>
  <c r="J76" i="1"/>
  <c r="N76" i="1" s="1"/>
  <c r="I76" i="1"/>
  <c r="L75" i="1"/>
  <c r="K75" i="1"/>
  <c r="J75" i="1"/>
  <c r="N75" i="1" s="1"/>
  <c r="I75" i="1"/>
  <c r="L74" i="1"/>
  <c r="K74" i="1"/>
  <c r="J74" i="1"/>
  <c r="N74" i="1" s="1"/>
  <c r="I74" i="1"/>
  <c r="L73" i="1"/>
  <c r="K73" i="1"/>
  <c r="J73" i="1"/>
  <c r="N73" i="1" s="1"/>
  <c r="I73" i="1"/>
  <c r="L72" i="1"/>
  <c r="K72" i="1"/>
  <c r="J72" i="1"/>
  <c r="N72" i="1" s="1"/>
  <c r="I72" i="1"/>
  <c r="L71" i="1"/>
  <c r="K71" i="1"/>
  <c r="J71" i="1"/>
  <c r="N71" i="1" s="1"/>
  <c r="I71" i="1"/>
  <c r="L70" i="1"/>
  <c r="K70" i="1"/>
  <c r="J70" i="1"/>
  <c r="N70" i="1" s="1"/>
  <c r="I70" i="1"/>
  <c r="L69" i="1"/>
  <c r="K69" i="1"/>
  <c r="J69" i="1"/>
  <c r="N69" i="1" s="1"/>
  <c r="I69" i="1"/>
  <c r="L68" i="1"/>
  <c r="K68" i="1"/>
  <c r="J68" i="1"/>
  <c r="N68" i="1" s="1"/>
  <c r="I68" i="1"/>
  <c r="L67" i="1"/>
  <c r="K67" i="1"/>
  <c r="J67" i="1"/>
  <c r="N67" i="1" s="1"/>
  <c r="I67" i="1"/>
  <c r="L66" i="1"/>
  <c r="K66" i="1"/>
  <c r="J66" i="1"/>
  <c r="N66" i="1" s="1"/>
  <c r="I66" i="1"/>
  <c r="L65" i="1"/>
  <c r="K65" i="1"/>
  <c r="J65" i="1"/>
  <c r="N65" i="1" s="1"/>
  <c r="I65" i="1"/>
  <c r="L64" i="1"/>
  <c r="K64" i="1"/>
  <c r="J64" i="1"/>
  <c r="N64" i="1" s="1"/>
  <c r="I64" i="1"/>
  <c r="L63" i="1"/>
  <c r="K63" i="1"/>
  <c r="J63" i="1"/>
  <c r="N63" i="1" s="1"/>
  <c r="I63" i="1"/>
  <c r="L62" i="1"/>
  <c r="K62" i="1"/>
  <c r="J62" i="1"/>
  <c r="N62" i="1" s="1"/>
  <c r="I62" i="1"/>
  <c r="L61" i="1"/>
  <c r="K61" i="1"/>
  <c r="J61" i="1"/>
  <c r="N61" i="1" s="1"/>
  <c r="I61" i="1"/>
  <c r="L60" i="1"/>
  <c r="K60" i="1"/>
  <c r="J60" i="1"/>
  <c r="N60" i="1" s="1"/>
  <c r="I60" i="1"/>
  <c r="L59" i="1"/>
  <c r="K59" i="1"/>
  <c r="J59" i="1"/>
  <c r="N59" i="1" s="1"/>
  <c r="I59" i="1"/>
  <c r="L58" i="1"/>
  <c r="K58" i="1"/>
  <c r="J58" i="1"/>
  <c r="N58" i="1" s="1"/>
  <c r="I58" i="1"/>
  <c r="L57" i="1"/>
  <c r="K57" i="1"/>
  <c r="J57" i="1"/>
  <c r="N57" i="1" s="1"/>
  <c r="I57" i="1"/>
  <c r="L56" i="1"/>
  <c r="K56" i="1"/>
  <c r="J56" i="1"/>
  <c r="N56" i="1" s="1"/>
  <c r="I56" i="1"/>
  <c r="L55" i="1"/>
  <c r="K55" i="1"/>
  <c r="J55" i="1"/>
  <c r="N55" i="1" s="1"/>
  <c r="I55" i="1"/>
  <c r="L54" i="1"/>
  <c r="K54" i="1"/>
  <c r="J54" i="1"/>
  <c r="N54" i="1" s="1"/>
  <c r="I54" i="1"/>
  <c r="L53" i="1"/>
  <c r="K53" i="1"/>
  <c r="J53" i="1"/>
  <c r="N53" i="1" s="1"/>
  <c r="I53" i="1"/>
  <c r="L52" i="1"/>
  <c r="K52" i="1"/>
  <c r="J52" i="1"/>
  <c r="N52" i="1" s="1"/>
  <c r="I52" i="1"/>
  <c r="L51" i="1"/>
  <c r="K51" i="1"/>
  <c r="J51" i="1"/>
  <c r="N51" i="1" s="1"/>
  <c r="I51" i="1"/>
  <c r="L50" i="1"/>
  <c r="K50" i="1"/>
  <c r="J50" i="1"/>
  <c r="N50" i="1" s="1"/>
  <c r="I50" i="1"/>
  <c r="L49" i="1"/>
  <c r="K49" i="1"/>
  <c r="J49" i="1"/>
  <c r="N49" i="1" s="1"/>
  <c r="I49" i="1"/>
  <c r="L48" i="1"/>
  <c r="K48" i="1"/>
  <c r="J48" i="1"/>
  <c r="N48" i="1" s="1"/>
  <c r="I48" i="1"/>
  <c r="L47" i="1"/>
  <c r="K47" i="1"/>
  <c r="J47" i="1"/>
  <c r="N47" i="1" s="1"/>
  <c r="I47" i="1"/>
  <c r="L46" i="1"/>
  <c r="K46" i="1"/>
  <c r="J46" i="1"/>
  <c r="N46" i="1" s="1"/>
  <c r="I46" i="1"/>
  <c r="L45" i="1"/>
  <c r="K45" i="1"/>
  <c r="J45" i="1"/>
  <c r="N45" i="1" s="1"/>
  <c r="I45" i="1"/>
  <c r="L44" i="1"/>
  <c r="K44" i="1"/>
  <c r="J44" i="1"/>
  <c r="N44" i="1" s="1"/>
  <c r="I44" i="1"/>
  <c r="L43" i="1"/>
  <c r="K43" i="1"/>
  <c r="J43" i="1"/>
  <c r="N43" i="1" s="1"/>
  <c r="I43" i="1"/>
  <c r="L42" i="1"/>
  <c r="K42" i="1"/>
  <c r="J42" i="1"/>
  <c r="N42" i="1" s="1"/>
  <c r="I42" i="1"/>
  <c r="L41" i="1"/>
  <c r="K41" i="1"/>
  <c r="J41" i="1"/>
  <c r="N41" i="1" s="1"/>
  <c r="L40" i="1"/>
  <c r="K40" i="1"/>
  <c r="J40" i="1"/>
  <c r="N40" i="1" s="1"/>
  <c r="I40" i="1"/>
  <c r="L39" i="1"/>
  <c r="K39" i="1"/>
  <c r="J39" i="1"/>
  <c r="N39" i="1" s="1"/>
  <c r="I39" i="1"/>
  <c r="L38" i="1"/>
  <c r="K38" i="1"/>
  <c r="J38" i="1"/>
  <c r="N38" i="1" s="1"/>
  <c r="I38" i="1"/>
  <c r="L37" i="1"/>
  <c r="K37" i="1"/>
  <c r="J37" i="1"/>
  <c r="N37" i="1" s="1"/>
  <c r="I37" i="1"/>
  <c r="L36" i="1"/>
  <c r="K36" i="1"/>
  <c r="J36" i="1"/>
  <c r="N36" i="1" s="1"/>
  <c r="I36" i="1"/>
  <c r="L35" i="1"/>
  <c r="K35" i="1"/>
  <c r="J35" i="1"/>
  <c r="N35" i="1" s="1"/>
  <c r="I35" i="1"/>
  <c r="L34" i="1"/>
  <c r="K34" i="1"/>
  <c r="J34" i="1"/>
  <c r="N34" i="1" s="1"/>
  <c r="I34" i="1"/>
  <c r="L33" i="1"/>
  <c r="K33" i="1"/>
  <c r="J33" i="1"/>
  <c r="N33" i="1" s="1"/>
  <c r="I33" i="1"/>
  <c r="L32" i="1"/>
  <c r="K32" i="1"/>
  <c r="J32" i="1"/>
  <c r="N32" i="1" s="1"/>
  <c r="I32" i="1"/>
  <c r="L31" i="1"/>
  <c r="K31" i="1"/>
  <c r="J31" i="1"/>
  <c r="N31" i="1" s="1"/>
  <c r="I31" i="1"/>
  <c r="L30" i="1"/>
  <c r="K30" i="1"/>
  <c r="J30" i="1"/>
  <c r="N30" i="1" s="1"/>
  <c r="I30" i="1"/>
  <c r="L29" i="1"/>
  <c r="K29" i="1"/>
  <c r="J29" i="1"/>
  <c r="N29" i="1" s="1"/>
  <c r="I29" i="1"/>
  <c r="L28" i="1"/>
  <c r="K28" i="1"/>
  <c r="J28" i="1"/>
  <c r="N28" i="1" s="1"/>
  <c r="I28" i="1"/>
  <c r="L27" i="1"/>
  <c r="K27" i="1"/>
  <c r="J27" i="1"/>
  <c r="N27" i="1" s="1"/>
  <c r="I27" i="1"/>
  <c r="L26" i="1"/>
  <c r="K26" i="1"/>
  <c r="J26" i="1"/>
  <c r="N26" i="1" s="1"/>
  <c r="I26" i="1"/>
  <c r="L25" i="1"/>
  <c r="K25" i="1"/>
  <c r="J25" i="1"/>
  <c r="N25" i="1" s="1"/>
  <c r="I25" i="1"/>
  <c r="L24" i="1"/>
  <c r="K24" i="1"/>
  <c r="J24" i="1"/>
  <c r="N24" i="1" s="1"/>
  <c r="I24" i="1"/>
  <c r="L23" i="1"/>
  <c r="K23" i="1"/>
  <c r="J23" i="1"/>
  <c r="N23" i="1" s="1"/>
  <c r="I23" i="1"/>
  <c r="L22" i="1"/>
  <c r="K22" i="1"/>
  <c r="J22" i="1"/>
  <c r="N22" i="1" s="1"/>
  <c r="I22" i="1"/>
  <c r="L21" i="1"/>
  <c r="K21" i="1"/>
  <c r="J21" i="1"/>
  <c r="N21" i="1" s="1"/>
  <c r="I21" i="1"/>
  <c r="L20" i="1"/>
  <c r="K20" i="1"/>
  <c r="J20" i="1"/>
  <c r="N20" i="1" s="1"/>
  <c r="I20" i="1"/>
  <c r="L19" i="1"/>
  <c r="K19" i="1"/>
  <c r="J19" i="1"/>
  <c r="N19" i="1" s="1"/>
  <c r="I19" i="1"/>
  <c r="L18" i="1"/>
  <c r="K18" i="1"/>
  <c r="J18" i="1"/>
  <c r="N18" i="1" s="1"/>
  <c r="I18" i="1"/>
  <c r="L17" i="1"/>
  <c r="K17" i="1"/>
  <c r="J17" i="1"/>
  <c r="N17" i="1" s="1"/>
  <c r="I17" i="1"/>
  <c r="L16" i="1"/>
  <c r="K16" i="1"/>
  <c r="J16" i="1"/>
  <c r="N16" i="1" s="1"/>
  <c r="I16" i="1"/>
  <c r="L15" i="1"/>
  <c r="K15" i="1"/>
  <c r="J15" i="1"/>
  <c r="N15" i="1" s="1"/>
  <c r="I15" i="1"/>
  <c r="L14" i="1"/>
  <c r="K14" i="1"/>
  <c r="J14" i="1"/>
  <c r="N14" i="1" s="1"/>
  <c r="I14" i="1"/>
  <c r="L13" i="1"/>
  <c r="K13" i="1"/>
  <c r="J13" i="1"/>
  <c r="N13" i="1" s="1"/>
  <c r="I13" i="1"/>
  <c r="L12" i="1"/>
  <c r="K12" i="1"/>
  <c r="J12" i="1"/>
  <c r="N12" i="1" s="1"/>
  <c r="I12" i="1"/>
  <c r="L11" i="1"/>
  <c r="K11" i="1"/>
  <c r="J11" i="1"/>
  <c r="N11" i="1" s="1"/>
  <c r="I11" i="1"/>
  <c r="L10" i="1"/>
  <c r="K10" i="1"/>
  <c r="J10" i="1"/>
  <c r="N10" i="1" s="1"/>
  <c r="I10" i="1"/>
  <c r="L9" i="1"/>
  <c r="K9" i="1"/>
  <c r="J9" i="1"/>
  <c r="N9" i="1" s="1"/>
  <c r="I9" i="1"/>
  <c r="L8" i="1"/>
  <c r="K8" i="1"/>
  <c r="J8" i="1"/>
  <c r="N8" i="1" s="1"/>
  <c r="I8" i="1"/>
  <c r="L7" i="1"/>
  <c r="K7" i="1"/>
  <c r="J7" i="1"/>
  <c r="N7" i="1" s="1"/>
  <c r="I7" i="1"/>
  <c r="L6" i="1"/>
  <c r="K6" i="1"/>
  <c r="J6" i="1"/>
  <c r="N6" i="1" s="1"/>
  <c r="I6" i="1"/>
  <c r="L5" i="1"/>
  <c r="K5" i="1"/>
  <c r="J5" i="1"/>
  <c r="N5" i="1" s="1"/>
  <c r="I5" i="1"/>
  <c r="L4" i="1"/>
  <c r="K4" i="1"/>
  <c r="J4" i="1"/>
  <c r="N4" i="1" s="1"/>
  <c r="I4" i="1"/>
  <c r="O47" i="1" l="1"/>
  <c r="D32" i="5"/>
  <c r="D34" i="5"/>
  <c r="F6" i="3"/>
  <c r="D39" i="5" s="1"/>
  <c r="F7" i="3"/>
  <c r="D41" i="5" s="1"/>
  <c r="D36" i="5"/>
  <c r="O169" i="1"/>
  <c r="O201" i="1"/>
  <c r="P201" i="1" s="1"/>
  <c r="O27" i="1"/>
  <c r="O150" i="1"/>
  <c r="P150" i="1" s="1"/>
  <c r="O29" i="1"/>
  <c r="O157" i="1"/>
  <c r="O165" i="1"/>
  <c r="P165" i="1" s="1"/>
  <c r="O38" i="1"/>
  <c r="O134" i="1"/>
  <c r="P134" i="1" s="1"/>
  <c r="O72" i="1"/>
  <c r="P72" i="1" s="1"/>
  <c r="O9" i="1"/>
  <c r="O105" i="1"/>
  <c r="P105" i="1" s="1"/>
  <c r="O18" i="1"/>
  <c r="P18" i="1" s="1"/>
  <c r="O198" i="1"/>
  <c r="O79" i="1"/>
  <c r="P79" i="1" s="1"/>
  <c r="O155" i="1"/>
  <c r="P155" i="1" s="1"/>
  <c r="O15" i="1"/>
  <c r="P15" i="1" s="1"/>
  <c r="O34" i="1"/>
  <c r="P34" i="1" s="1"/>
  <c r="O66" i="1"/>
  <c r="P66" i="1" s="1"/>
  <c r="O124" i="1"/>
  <c r="P124" i="1" s="1"/>
  <c r="O13" i="1"/>
  <c r="P13" i="1" s="1"/>
  <c r="O196" i="1"/>
  <c r="P196" i="1" s="1"/>
  <c r="O50" i="1"/>
  <c r="P50" i="1" s="1"/>
  <c r="O45" i="1"/>
  <c r="P45" i="1" s="1"/>
  <c r="O77" i="1"/>
  <c r="P77" i="1" s="1"/>
  <c r="O93" i="1"/>
  <c r="P93" i="1" s="1"/>
  <c r="O109" i="1"/>
  <c r="P109" i="1" s="1"/>
  <c r="O82" i="1"/>
  <c r="P82" i="1" s="1"/>
  <c r="H3" i="3"/>
  <c r="H6" i="3"/>
  <c r="H5" i="3"/>
  <c r="H4" i="3"/>
  <c r="H7" i="3"/>
  <c r="O43" i="1"/>
  <c r="P43" i="1" s="1"/>
  <c r="O6" i="1"/>
  <c r="P6" i="1" s="1"/>
  <c r="O146" i="1"/>
  <c r="P146" i="1" s="1"/>
  <c r="O60" i="1"/>
  <c r="O177" i="1"/>
  <c r="P177" i="1" s="1"/>
  <c r="O162" i="1"/>
  <c r="P162" i="1" s="1"/>
  <c r="O193" i="1"/>
  <c r="O116" i="1"/>
  <c r="P116" i="1" s="1"/>
  <c r="O117" i="1"/>
  <c r="P117" i="1" s="1"/>
  <c r="P125" i="1"/>
  <c r="O156" i="1"/>
  <c r="O171" i="1"/>
  <c r="P171" i="1" s="1"/>
  <c r="O59" i="1"/>
  <c r="P59" i="1" s="1"/>
  <c r="O52" i="1"/>
  <c r="P52" i="1" s="1"/>
  <c r="P70" i="1"/>
  <c r="P16" i="1"/>
  <c r="O32" i="1"/>
  <c r="P32" i="1" s="1"/>
  <c r="O145" i="1"/>
  <c r="P145" i="1" s="1"/>
  <c r="P199" i="1"/>
  <c r="P193" i="1"/>
  <c r="O61" i="1"/>
  <c r="P61" i="1" s="1"/>
  <c r="O108" i="1"/>
  <c r="P108" i="1" s="1"/>
  <c r="P156" i="1"/>
  <c r="O71" i="1"/>
  <c r="P71" i="1" s="1"/>
  <c r="O111" i="1"/>
  <c r="P111" i="1" s="1"/>
  <c r="O189" i="1"/>
  <c r="P189" i="1" s="1"/>
  <c r="O20" i="1"/>
  <c r="P20" i="1" s="1"/>
  <c r="O191" i="1"/>
  <c r="O199" i="1"/>
  <c r="O91" i="1"/>
  <c r="P91" i="1" s="1"/>
  <c r="O123" i="1"/>
  <c r="P123" i="1" s="1"/>
  <c r="O100" i="1"/>
  <c r="P100" i="1" s="1"/>
  <c r="O125" i="1"/>
  <c r="O203" i="1"/>
  <c r="P203" i="1" s="1"/>
  <c r="O135" i="1"/>
  <c r="P135" i="1" s="1"/>
  <c r="O84" i="1"/>
  <c r="P84" i="1" s="1"/>
  <c r="O139" i="1"/>
  <c r="P139" i="1" s="1"/>
  <c r="O16" i="1"/>
  <c r="O187" i="1"/>
  <c r="P187" i="1" s="1"/>
  <c r="O41" i="1"/>
  <c r="P41" i="1" s="1"/>
  <c r="O57" i="1"/>
  <c r="P57" i="1" s="1"/>
  <c r="O73" i="1"/>
  <c r="P73" i="1" s="1"/>
  <c r="O130" i="1"/>
  <c r="P130" i="1" s="1"/>
  <c r="O36" i="1"/>
  <c r="P36" i="1" s="1"/>
  <c r="O14" i="1"/>
  <c r="P14" i="1" s="1"/>
  <c r="O107" i="1"/>
  <c r="P107" i="1" s="1"/>
  <c r="O23" i="1"/>
  <c r="P23" i="1" s="1"/>
  <c r="O86" i="1"/>
  <c r="P86" i="1" s="1"/>
  <c r="O102" i="1"/>
  <c r="P102" i="1" s="1"/>
  <c r="P157" i="1"/>
  <c r="O48" i="1"/>
  <c r="P48" i="1" s="1"/>
  <c r="O11" i="1"/>
  <c r="P11" i="1" s="1"/>
  <c r="O104" i="1"/>
  <c r="P104" i="1" s="1"/>
  <c r="O166" i="1"/>
  <c r="P166" i="1" s="1"/>
  <c r="O174" i="1"/>
  <c r="P174" i="1" s="1"/>
  <c r="O137" i="1"/>
  <c r="P137" i="1" s="1"/>
  <c r="O83" i="1"/>
  <c r="P83" i="1" s="1"/>
  <c r="O178" i="1"/>
  <c r="P178" i="1" s="1"/>
  <c r="O70" i="1"/>
  <c r="O164" i="1"/>
  <c r="P164" i="1" s="1"/>
  <c r="P191" i="1"/>
  <c r="O114" i="1"/>
  <c r="P114" i="1" s="1"/>
  <c r="O131" i="1"/>
  <c r="P131" i="1" s="1"/>
  <c r="O69" i="1"/>
  <c r="P69" i="1" s="1"/>
  <c r="O148" i="1"/>
  <c r="O63" i="1"/>
  <c r="P63" i="1" s="1"/>
  <c r="O25" i="1"/>
  <c r="P25" i="1" s="1"/>
  <c r="P27" i="1"/>
  <c r="O5" i="1"/>
  <c r="P5" i="1" s="1"/>
  <c r="O97" i="1"/>
  <c r="P97" i="1" s="1"/>
  <c r="O136" i="1"/>
  <c r="P136" i="1" s="1"/>
  <c r="O159" i="1"/>
  <c r="P159" i="1" s="1"/>
  <c r="O167" i="1"/>
  <c r="P167" i="1" s="1"/>
  <c r="O175" i="1"/>
  <c r="P175" i="1" s="1"/>
  <c r="P169" i="1"/>
  <c r="P96" i="1"/>
  <c r="P197" i="1"/>
  <c r="P38" i="1"/>
  <c r="P198" i="1"/>
  <c r="P9" i="1"/>
  <c r="P173" i="1"/>
  <c r="O64" i="1"/>
  <c r="P64" i="1" s="1"/>
  <c r="O17" i="1"/>
  <c r="P17" i="1" s="1"/>
  <c r="O31" i="1"/>
  <c r="P31" i="1" s="1"/>
  <c r="O99" i="1"/>
  <c r="P99" i="1" s="1"/>
  <c r="O113" i="1"/>
  <c r="P113" i="1" s="1"/>
  <c r="O140" i="1"/>
  <c r="P140" i="1" s="1"/>
  <c r="O127" i="1"/>
  <c r="P127" i="1" s="1"/>
  <c r="O181" i="1"/>
  <c r="P181" i="1" s="1"/>
  <c r="O141" i="1"/>
  <c r="P141" i="1" s="1"/>
  <c r="O101" i="1"/>
  <c r="P101" i="1" s="1"/>
  <c r="O122" i="1"/>
  <c r="P122" i="1" s="1"/>
  <c r="O183" i="1"/>
  <c r="P183" i="1" s="1"/>
  <c r="O190" i="1"/>
  <c r="P190" i="1" s="1"/>
  <c r="O40" i="1"/>
  <c r="P40" i="1" s="1"/>
  <c r="O81" i="1"/>
  <c r="P81" i="1" s="1"/>
  <c r="O143" i="1"/>
  <c r="P143" i="1" s="1"/>
  <c r="O163" i="1"/>
  <c r="P163" i="1" s="1"/>
  <c r="O147" i="1"/>
  <c r="P147" i="1" s="1"/>
  <c r="O182" i="1"/>
  <c r="P182" i="1" s="1"/>
  <c r="P60" i="1"/>
  <c r="O39" i="1"/>
  <c r="P39" i="1" s="1"/>
  <c r="O118" i="1"/>
  <c r="P118" i="1" s="1"/>
  <c r="O98" i="1"/>
  <c r="P98" i="1" s="1"/>
  <c r="O188" i="1"/>
  <c r="P188" i="1" s="1"/>
  <c r="O121" i="1"/>
  <c r="P121" i="1" s="1"/>
  <c r="O80" i="1"/>
  <c r="P80" i="1" s="1"/>
  <c r="O7" i="1"/>
  <c r="P7" i="1" s="1"/>
  <c r="O95" i="1"/>
  <c r="P95" i="1" s="1"/>
  <c r="O144" i="1"/>
  <c r="P144" i="1" s="1"/>
  <c r="O151" i="1"/>
  <c r="P151" i="1" s="1"/>
  <c r="O132" i="1"/>
  <c r="P132" i="1" s="1"/>
  <c r="O153" i="1"/>
  <c r="P153" i="1" s="1"/>
  <c r="O37" i="1"/>
  <c r="P37" i="1" s="1"/>
  <c r="O194" i="1"/>
  <c r="P194" i="1" s="1"/>
  <c r="O168" i="1"/>
  <c r="P168" i="1" s="1"/>
  <c r="O87" i="1"/>
  <c r="P87" i="1" s="1"/>
  <c r="P176" i="1"/>
  <c r="O53" i="1"/>
  <c r="P53" i="1" s="1"/>
  <c r="O68" i="1"/>
  <c r="P68" i="1" s="1"/>
  <c r="O89" i="1"/>
  <c r="P89" i="1" s="1"/>
  <c r="O28" i="1"/>
  <c r="P28" i="1" s="1"/>
  <c r="O55" i="1"/>
  <c r="P55" i="1" s="1"/>
  <c r="O75" i="1"/>
  <c r="P75" i="1" s="1"/>
  <c r="O185" i="1"/>
  <c r="P185" i="1" s="1"/>
  <c r="O78" i="1"/>
  <c r="P78" i="1" s="1"/>
  <c r="O133" i="1"/>
  <c r="P133" i="1" s="1"/>
  <c r="P148" i="1"/>
  <c r="O46" i="1"/>
  <c r="P46" i="1" s="1"/>
  <c r="O142" i="1"/>
  <c r="P142" i="1" s="1"/>
  <c r="O54" i="1"/>
  <c r="P54" i="1" s="1"/>
  <c r="O8" i="1"/>
  <c r="P8" i="1" s="1"/>
  <c r="O192" i="1"/>
  <c r="P192" i="1" s="1"/>
  <c r="P29" i="1"/>
  <c r="O179" i="1"/>
  <c r="P179" i="1" s="1"/>
  <c r="O4" i="1"/>
  <c r="P4" i="1" s="1"/>
  <c r="O112" i="1"/>
  <c r="P112" i="1" s="1"/>
  <c r="O200" i="1"/>
  <c r="P200" i="1" s="1"/>
  <c r="O128" i="1"/>
  <c r="P128" i="1" s="1"/>
  <c r="O88" i="1"/>
  <c r="P88" i="1" s="1"/>
  <c r="O74" i="1"/>
  <c r="P74" i="1" s="1"/>
  <c r="O103" i="1"/>
  <c r="P103" i="1" s="1"/>
  <c r="O110" i="1"/>
  <c r="P110" i="1" s="1"/>
  <c r="O180" i="1"/>
  <c r="P180" i="1" s="1"/>
  <c r="O92" i="1"/>
  <c r="P92" i="1" s="1"/>
  <c r="O202" i="1"/>
  <c r="P202" i="1" s="1"/>
  <c r="O160" i="1"/>
  <c r="P160" i="1" s="1"/>
  <c r="O119" i="1"/>
  <c r="P119" i="1" s="1"/>
  <c r="O19" i="1"/>
  <c r="P19" i="1" s="1"/>
  <c r="O22" i="1"/>
  <c r="P22" i="1" s="1"/>
  <c r="O49" i="1"/>
  <c r="P49" i="1" s="1"/>
  <c r="O76" i="1"/>
  <c r="P76" i="1" s="1"/>
  <c r="L22" i="2"/>
  <c r="L20" i="2"/>
  <c r="L18" i="2"/>
  <c r="P47" i="1"/>
  <c r="L21" i="2"/>
  <c r="O94" i="1"/>
  <c r="P94" i="1" s="1"/>
  <c r="O26" i="1"/>
  <c r="P26" i="1" s="1"/>
  <c r="O106" i="1"/>
  <c r="P106" i="1" s="1"/>
  <c r="O44" i="1"/>
  <c r="P44" i="1" s="1"/>
  <c r="O67" i="1"/>
  <c r="P67" i="1" s="1"/>
  <c r="O129" i="1"/>
  <c r="P129" i="1" s="1"/>
  <c r="O152" i="1"/>
  <c r="P152" i="1" s="1"/>
  <c r="O186" i="1"/>
  <c r="P186" i="1" s="1"/>
  <c r="O21" i="1"/>
  <c r="P21" i="1" s="1"/>
  <c r="O10" i="1"/>
  <c r="P10" i="1" s="1"/>
  <c r="O33" i="1"/>
  <c r="P33" i="1" s="1"/>
  <c r="O158" i="1"/>
  <c r="P158" i="1" s="1"/>
  <c r="O56" i="1"/>
  <c r="P56" i="1" s="1"/>
  <c r="O90" i="1"/>
  <c r="P90" i="1" s="1"/>
  <c r="O62" i="1"/>
  <c r="P62" i="1" s="1"/>
  <c r="O170" i="1"/>
  <c r="P170" i="1" s="1"/>
  <c r="O51" i="1"/>
  <c r="P51" i="1" s="1"/>
  <c r="O85" i="1"/>
  <c r="P85" i="1" s="1"/>
  <c r="O120" i="1"/>
  <c r="P120" i="1" s="1"/>
  <c r="O154" i="1"/>
  <c r="P154" i="1" s="1"/>
  <c r="L19" i="2"/>
  <c r="O149" i="1"/>
  <c r="P149" i="1" s="1"/>
  <c r="O195" i="1"/>
  <c r="P195" i="1" s="1"/>
  <c r="O172" i="1"/>
  <c r="P172" i="1" s="1"/>
  <c r="O30" i="1"/>
  <c r="P30" i="1" s="1"/>
  <c r="O138" i="1"/>
  <c r="P138" i="1" s="1"/>
  <c r="O161" i="1"/>
  <c r="P161" i="1" s="1"/>
  <c r="O184" i="1"/>
  <c r="P184" i="1" s="1"/>
  <c r="O126" i="1"/>
  <c r="P126" i="1" s="1"/>
  <c r="O58" i="1"/>
  <c r="P58" i="1" s="1"/>
  <c r="O12" i="1"/>
  <c r="P12" i="1" s="1"/>
  <c r="O24" i="1"/>
  <c r="P24" i="1" s="1"/>
  <c r="O35" i="1"/>
  <c r="P35" i="1" s="1"/>
  <c r="O115" i="1"/>
  <c r="P115" i="1" s="1"/>
  <c r="O42" i="1"/>
  <c r="P42" i="1" s="1"/>
  <c r="O65" i="1"/>
  <c r="P65" i="1" s="1"/>
</calcChain>
</file>

<file path=xl/sharedStrings.xml><?xml version="1.0" encoding="utf-8"?>
<sst xmlns="http://schemas.openxmlformats.org/spreadsheetml/2006/main" count="769" uniqueCount="288">
  <si>
    <t>YES</t>
  </si>
  <si>
    <t>App</t>
  </si>
  <si>
    <t>Priority_Score</t>
  </si>
  <si>
    <t>Priority_Rank</t>
  </si>
  <si>
    <t>ABC Adventure</t>
  </si>
  <si>
    <t>Dragon Dress-Up</t>
  </si>
  <si>
    <t>Farm Friends</t>
  </si>
  <si>
    <t>Galaxy Gardeners</t>
  </si>
  <si>
    <t>Hero Helper HQ</t>
  </si>
  <si>
    <t>Jungle Jumpers</t>
  </si>
  <si>
    <t>Magic Math Quest</t>
  </si>
  <si>
    <t>Ninja Numbers</t>
  </si>
  <si>
    <t>Ocean Odyssey Kids</t>
  </si>
  <si>
    <t>Puzzle Planet</t>
  </si>
  <si>
    <t>Rainbow Rescue</t>
  </si>
  <si>
    <t>Robot Rhyme Run</t>
  </si>
  <si>
    <t>Super Chef Jr</t>
  </si>
  <si>
    <t>iOS</t>
  </si>
  <si>
    <t>Amazon</t>
  </si>
  <si>
    <t>Pirate Paint Party</t>
  </si>
  <si>
    <t>Astronaut Academy</t>
  </si>
  <si>
    <t>Castle Color Camp</t>
  </si>
  <si>
    <t>Android</t>
  </si>
  <si>
    <t>Dino Dash</t>
  </si>
  <si>
    <t>Space Sprouts</t>
  </si>
  <si>
    <t>Panda Playhouse</t>
  </si>
  <si>
    <t>Fairy Pet Care</t>
  </si>
  <si>
    <t>Safari Snap</t>
  </si>
  <si>
    <t>Mermaid Melody</t>
  </si>
  <si>
    <t>Tiny Town Builders</t>
  </si>
  <si>
    <t>Storytime Studio</t>
  </si>
  <si>
    <t>Music Maker Minis</t>
  </si>
  <si>
    <t>Business Metrics Calculation</t>
  </si>
  <si>
    <t>Dummy Data Cleaned</t>
  </si>
  <si>
    <t>App Name</t>
  </si>
  <si>
    <t>Installs (Sum)</t>
  </si>
  <si>
    <t>UA Spend (Sum)</t>
  </si>
  <si>
    <t>CAC (Average)</t>
  </si>
  <si>
    <t>ROAS 30d (Average)</t>
  </si>
  <si>
    <t>LTV 90d (Average)</t>
  </si>
  <si>
    <t>Retention 30d (Average)</t>
  </si>
  <si>
    <t>Eligible for UA Campaing</t>
  </si>
  <si>
    <t>Weight %</t>
  </si>
  <si>
    <t>Metric</t>
  </si>
  <si>
    <t>ROAS</t>
  </si>
  <si>
    <t>LTV</t>
  </si>
  <si>
    <t>Retention</t>
  </si>
  <si>
    <t>Values</t>
  </si>
  <si>
    <t>Grand Total</t>
  </si>
  <si>
    <t>TOP 5</t>
  </si>
  <si>
    <t>Top 5 App Metrics per Platform</t>
  </si>
  <si>
    <t>App Eligible for UA Campaing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</si>
  <si>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</si>
  <si>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</si>
  <si>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</si>
  <si>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</si>
  <si>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</si>
  <si>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</si>
  <si>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</si>
  <si>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</si>
  <si>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</si>
  <si>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</si>
  <si>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</si>
  <si>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</si>
  <si>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</si>
  <si>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</si>
  <si>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</si>
  <si>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</si>
  <si>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</si>
  <si>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</si>
  <si>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</si>
  <si>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</si>
  <si>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</si>
  <si>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</si>
  <si>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</si>
  <si>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</si>
  <si>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</si>
  <si>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</si>
  <si>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</si>
  <si>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</si>
  <si>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</si>
  <si>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</si>
  <si>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</si>
  <si>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</si>
  <si>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</si>
  <si>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</si>
  <si>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</si>
  <si>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</si>
  <si>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</si>
  <si>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</si>
  <si>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(Republic)</t>
  </si>
  <si>
    <t>Costa Rica</t>
  </si>
  <si>
    <t>Cote d’Ivoire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</si>
  <si>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</si>
  <si>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</si>
  <si>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</si>
  <si>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</si>
  <si>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</si>
  <si>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</si>
  <si>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</si>
  <si>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</si>
  <si>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</si>
  <si>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</si>
  <si>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</si>
  <si>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</si>
  <si>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</si>
  <si>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</si>
  <si>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</si>
  <si>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</si>
  <si>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</si>
  <si>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</si>
  <si>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</si>
  <si>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</si>
  <si>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</si>
  <si>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</si>
  <si>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</si>
  <si>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</si>
  <si>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</si>
  <si>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</si>
  <si>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</si>
  <si>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</si>
  <si>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</si>
  <si>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</si>
  <si>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</si>
  <si>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</si>
  <si>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</si>
  <si>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</si>
  <si>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</si>
  <si>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</si>
  <si>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</si>
  <si>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</si>
  <si>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</si>
  <si>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</si>
  <si>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</si>
  <si>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</si>
  <si>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</si>
  <si>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</si>
  <si>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</si>
  <si>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</si>
  <si>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</si>
  <si>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</si>
  <si>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</si>
  <si>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</si>
  <si>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</si>
  <si>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</si>
  <si>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</si>
  <si>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</si>
  <si>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</si>
  <si>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</si>
  <si>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</si>
  <si>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</si>
  <si>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</si>
  <si>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</si>
  <si>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</si>
  <si>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</si>
  <si>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</si>
  <si>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</si>
  <si>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</si>
  <si>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</si>
  <si>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</si>
  <si>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</si>
  <si>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</si>
  <si>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</si>
  <si>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</si>
  <si>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</si>
  <si>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</si>
  <si>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</si>
  <si>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</si>
  <si>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</si>
  <si>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</si>
  <si>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</si>
  <si>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</si>
  <si>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</si>
  <si>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</si>
  <si>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</si>
  <si>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</si>
  <si>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</si>
  <si>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</si>
  <si>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</si>
  <si>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</si>
  <si>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</si>
  <si>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</si>
  <si>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</si>
  <si>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</si>
  <si>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</si>
  <si>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</si>
  <si>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</si>
  <si>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</si>
  <si>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</si>
  <si>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</si>
  <si>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</si>
  <si>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</si>
  <si>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</si>
  <si>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</si>
  <si>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</si>
  <si>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</si>
  <si>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</si>
  <si>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</si>
  <si>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</si>
  <si>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</si>
  <si>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</si>
  <si>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</si>
  <si>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</si>
  <si>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</si>
  <si>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</si>
  <si>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</si>
  <si>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</si>
  <si>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</si>
  <si>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</si>
  <si>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</si>
  <si>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</si>
  <si>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</si>
  <si>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</si>
  <si>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</si>
  <si>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</si>
  <si>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</si>
  <si>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</si>
  <si>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</si>
  <si>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</si>
  <si>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</si>
  <si>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</si>
  <si>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</si>
  <si>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</si>
  <si>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</si>
  <si>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</si>
  <si>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</si>
  <si>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</si>
  <si>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</si>
  <si>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</si>
  <si>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</si>
  <si>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</si>
  <si>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</si>
  <si>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</si>
  <si>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</si>
  <si>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</si>
  <si>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</si>
  <si>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</si>
  <si>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</si>
  <si>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</si>
  <si>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</si>
  <si>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</si>
  <si>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</si>
  <si>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</si>
  <si>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Yemen</t>
  </si>
  <si>
    <t>Zambia</t>
  </si>
  <si>
    <t>Zimbabwe</t>
  </si>
  <si>
    <t>Hong Kong</t>
  </si>
  <si>
    <t>Macau</t>
  </si>
  <si>
    <t>Puerto Rico</t>
  </si>
  <si>
    <t>Guam</t>
  </si>
  <si>
    <t>Greenland</t>
  </si>
  <si>
    <t>Bermuda</t>
  </si>
  <si>
    <t>Top 5 App Metrics per Country</t>
  </si>
  <si>
    <t>Simulated ROAS 90d</t>
  </si>
  <si>
    <t>Simulated CAC Trend %</t>
  </si>
  <si>
    <t>Avg ROAS 30d</t>
  </si>
  <si>
    <t xml:space="preserve">Avg Retention 30d </t>
  </si>
  <si>
    <t>Sim Retention 90d</t>
  </si>
  <si>
    <t xml:space="preserve">Avg LTV 90d per install </t>
  </si>
  <si>
    <t>Keep Investing?</t>
  </si>
  <si>
    <t>Day</t>
  </si>
  <si>
    <t>app_name</t>
  </si>
  <si>
    <t>platform</t>
  </si>
  <si>
    <t>country</t>
  </si>
  <si>
    <t>ua_spend_cad</t>
  </si>
  <si>
    <t>installs</t>
  </si>
  <si>
    <t>active_users_30d</t>
  </si>
  <si>
    <t>revenue_30d_cad</t>
  </si>
  <si>
    <t>revenue_90d_cad</t>
  </si>
  <si>
    <t>cac_cad</t>
  </si>
  <si>
    <t>roas_30d</t>
  </si>
  <si>
    <t>ltv_90d_per_install</t>
  </si>
  <si>
    <t>retention_30d</t>
  </si>
  <si>
    <t>ltv_cac_ratio</t>
  </si>
  <si>
    <t>payback_flag</t>
  </si>
  <si>
    <t>ltv_gt_cac</t>
  </si>
  <si>
    <t>eligible_for_ua</t>
  </si>
  <si>
    <t>Executive Summary:</t>
  </si>
  <si>
    <t>Objective:</t>
  </si>
  <si>
    <t>Identify which mobile apps should receive additional user acquisition investment.</t>
  </si>
  <si>
    <t>Method:</t>
  </si>
  <si>
    <t>Apps were evaluated using CAC, ROAS 30d, LTV 90d, and Retention 30d.</t>
  </si>
  <si>
    <t>Eligibility Criteria:</t>
  </si>
  <si>
    <t>ROAS &gt; 1 AND LTV &gt; CAC.</t>
  </si>
  <si>
    <t>Ranking Method:</t>
  </si>
  <si>
    <t>Investment Score =
ROAS (50%) + LTV (30%) + Retention (20%)</t>
  </si>
  <si>
    <t>Result:</t>
  </si>
  <si>
    <t>Top 5 Apps recommended for additional UA investment.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</si>
</sst>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$&quot;#,##0.00"/>
    <numFmt numFmtId="165" formatCode="0.00&quot;×&quot;"/>
    <numFmt numFmtId="166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8" tint="0.79998168889431442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6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4" xfId="0" applyNumberFormat="1" applyBorder="1"/>
    <xf numFmtId="0" fontId="0" fillId="0" borderId="5" xfId="0" applyBorder="1"/>
    <xf numFmtId="164" fontId="0" fillId="0" borderId="6" xfId="0" applyNumberFormat="1" applyBorder="1"/>
    <xf numFmtId="165" fontId="0" fillId="0" borderId="7" xfId="0" applyNumberFormat="1" applyBorder="1"/>
    <xf numFmtId="164" fontId="0" fillId="0" borderId="7" xfId="0" applyNumberFormat="1" applyBorder="1"/>
    <xf numFmtId="10" fontId="0" fillId="0" borderId="7" xfId="0" applyNumberFormat="1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164" fontId="0" fillId="0" borderId="5" xfId="0" applyNumberFormat="1" applyBorder="1"/>
    <xf numFmtId="0" fontId="0" fillId="0" borderId="6" xfId="0" applyBorder="1"/>
    <xf numFmtId="164" fontId="0" fillId="0" borderId="8" xfId="0" applyNumberFormat="1" applyBorder="1"/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0" fillId="0" borderId="0" xfId="0" pivotButton="1" applyAlignment="1">
      <alignment horizontal="center" vertical="center"/>
    </xf>
    <xf numFmtId="0" fontId="3" fillId="0" borderId="0" xfId="0" pivotButton="1" applyFont="1"/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3" fillId="6" borderId="9" xfId="0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0" fillId="0" borderId="1" xfId="0" applyBorder="1"/>
    <xf numFmtId="166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indent="1"/>
    </xf>
    <xf numFmtId="0" fontId="4" fillId="0" borderId="0" xfId="0" pivotButton="1" applyFont="1"/>
    <xf numFmtId="0" fontId="0" fillId="0" borderId="0" xfId="0" applyAlignment="1">
      <alignment horizontal="right"/>
    </xf>
    <xf numFmtId="0" fontId="0" fillId="0" borderId="0" xfId="0" applyAlignment="1">
      <alignment horizontal="right" indent="1"/>
    </xf>
    <xf numFmtId="0" fontId="2" fillId="0" borderId="0" xfId="0" applyFont="1" applyAlignment="1">
      <alignment horizontal="center" vertical="center" wrapText="1"/>
    </xf>
    <xf numFmtId="9" fontId="0" fillId="0" borderId="3" xfId="0" applyNumberFormat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0" fontId="3" fillId="0" borderId="0" xfId="0" applyFont="1"/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24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alignment horizontal="right"/>
    </dxf>
    <dxf>
      <font>
        <color theme="8" tint="0.79998168889431442"/>
      </font>
    </dxf>
    <dxf>
      <alignment horizontal="center"/>
    </dxf>
    <dxf>
      <alignment vertical="center"/>
    </dxf>
    <dxf>
      <alignment horizontal="center"/>
    </dxf>
    <dxf>
      <alignment vertical="center"/>
    </dxf>
    <dxf>
      <font>
        <b/>
      </font>
    </dxf>
    <dxf>
      <alignment horizontal="center"/>
    </dxf>
    <dxf>
      <alignment vertical="center"/>
    </dxf>
    <dxf>
      <font>
        <b/>
      </font>
    </dxf>
    <dxf>
      <alignment horizontal="right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Mini Project Workbook.xlsx]UA Investment Analysis!PivotTable3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'UA Investment Analysis'!$C$35</c:f>
              <c:strCache>
                <c:ptCount val="1"/>
                <c:pt idx="0">
                  <c:v>ROAS 30d (Average)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'UA Investment Analysis'!$B$36:$B$47</c:f>
              <c:multiLvlStrCache>
                <c:ptCount val="7"/>
                <c:lvl>
                  <c:pt idx="0">
                    <c:v>iOS</c:v>
                  </c:pt>
                  <c:pt idx="1">
                    <c:v>Amazon</c:v>
                  </c:pt>
                  <c:pt idx="2">
                    <c:v>Android</c:v>
                  </c:pt>
                  <c:pt idx="3">
                    <c:v>Android</c:v>
                  </c:pt>
                  <c:pt idx="4">
                    <c:v>Amazon</c:v>
                  </c:pt>
                  <c:pt idx="5">
                    <c:v>iOS</c:v>
                  </c:pt>
                  <c:pt idx="6">
                    <c:v>Android</c:v>
                  </c:pt>
                </c:lvl>
                <c:lvl>
                  <c:pt idx="0">
                    <c:v>Farm Friends</c:v>
                  </c:pt>
                  <c:pt idx="1">
                    <c:v>Galaxy Gardeners</c:v>
                  </c:pt>
                  <c:pt idx="3">
                    <c:v>Hero Helper HQ</c:v>
                  </c:pt>
                  <c:pt idx="4">
                    <c:v>Ninja Numbers</c:v>
                  </c:pt>
                  <c:pt idx="6">
                    <c:v>Super Chef Jr</c:v>
                  </c:pt>
                </c:lvl>
              </c:multiLvlStrCache>
            </c:multiLvlStrRef>
          </c:cat>
          <c:val>
            <c:numRef>
              <c:f>'UA Investment Analysis'!$C$36:$C$47</c:f>
              <c:numCache>
                <c:formatCode>0.00"×"</c:formatCode>
                <c:ptCount val="7"/>
                <c:pt idx="0">
                  <c:v>2.3233019674469069</c:v>
                </c:pt>
                <c:pt idx="1">
                  <c:v>4.6493454406164796</c:v>
                </c:pt>
                <c:pt idx="2">
                  <c:v>1.1161493854408995</c:v>
                </c:pt>
                <c:pt idx="3">
                  <c:v>3.3500526296786948</c:v>
                </c:pt>
                <c:pt idx="4">
                  <c:v>1.7944161112858337</c:v>
                </c:pt>
                <c:pt idx="5">
                  <c:v>5.3755529874866834</c:v>
                </c:pt>
                <c:pt idx="6">
                  <c:v>2.3347162404507391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1A-4BFA-9A5D-2B2FCC129DFE}"/>
            </c:ext>
          </c:extLst>
        </c:ser>
        <c:ser>
          <c:idx val="1"/>
          <c:order val="1"/>
          <c:tx>
            <c:strRef>
              <c:f>'UA Investment Analysis'!$D$35</c:f>
              <c:strCache>
                <c:ptCount val="1"/>
                <c:pt idx="0">
                  <c:v>CAC (Average)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'UA Investment Analysis'!$B$36:$B$47</c:f>
              <c:multiLvlStrCache>
                <c:ptCount val="7"/>
                <c:lvl>
                  <c:pt idx="0">
                    <c:v>iOS</c:v>
                  </c:pt>
                  <c:pt idx="1">
                    <c:v>Amazon</c:v>
                  </c:pt>
                  <c:pt idx="2">
                    <c:v>Android</c:v>
                  </c:pt>
                  <c:pt idx="3">
                    <c:v>Android</c:v>
                  </c:pt>
                  <c:pt idx="4">
                    <c:v>Amazon</c:v>
                  </c:pt>
                  <c:pt idx="5">
                    <c:v>iOS</c:v>
                  </c:pt>
                  <c:pt idx="6">
                    <c:v>Android</c:v>
                  </c:pt>
                </c:lvl>
                <c:lvl>
                  <c:pt idx="0">
                    <c:v>Farm Friends</c:v>
                  </c:pt>
                  <c:pt idx="1">
                    <c:v>Galaxy Gardeners</c:v>
                  </c:pt>
                  <c:pt idx="3">
                    <c:v>Hero Helper HQ</c:v>
                  </c:pt>
                  <c:pt idx="4">
                    <c:v>Ninja Numbers</c:v>
                  </c:pt>
                  <c:pt idx="6">
                    <c:v>Super Chef Jr</c:v>
                  </c:pt>
                </c:lvl>
              </c:multiLvlStrCache>
            </c:multiLvlStrRef>
          </c:cat>
          <c:val>
            <c:numRef>
              <c:f>'UA Investment Analysis'!$D$36:$D$47</c:f>
              <c:numCache>
                <c:formatCode>"$"#,##0.00</c:formatCode>
                <c:ptCount val="7"/>
                <c:pt idx="0">
                  <c:v>0.3140268944595882</c:v>
                </c:pt>
                <c:pt idx="1">
                  <c:v>0.11883735875328015</c:v>
                </c:pt>
                <c:pt idx="2">
                  <c:v>0.61679818649675278</c:v>
                </c:pt>
                <c:pt idx="3">
                  <c:v>0.18331279910396089</c:v>
                </c:pt>
                <c:pt idx="4">
                  <c:v>0.7663182754026886</c:v>
                </c:pt>
                <c:pt idx="5">
                  <c:v>0.21349653045489589</c:v>
                </c:pt>
                <c:pt idx="6">
                  <c:v>0.35984247967479671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1A-4BFA-9A5D-2B2FCC129DFE}"/>
            </c:ext>
          </c:extLst>
        </c:ser>
        <c:ser>
          <c:idx val="2"/>
          <c:order val="2"/>
          <c:tx>
            <c:strRef>
              <c:f>'UA Investment Analysis'!$E$35</c:f>
              <c:strCache>
                <c:ptCount val="1"/>
                <c:pt idx="0">
                  <c:v>LTV 90d (Average)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'UA Investment Analysis'!$B$36:$B$47</c:f>
              <c:multiLvlStrCache>
                <c:ptCount val="7"/>
                <c:lvl>
                  <c:pt idx="0">
                    <c:v>iOS</c:v>
                  </c:pt>
                  <c:pt idx="1">
                    <c:v>Amazon</c:v>
                  </c:pt>
                  <c:pt idx="2">
                    <c:v>Android</c:v>
                  </c:pt>
                  <c:pt idx="3">
                    <c:v>Android</c:v>
                  </c:pt>
                  <c:pt idx="4">
                    <c:v>Amazon</c:v>
                  </c:pt>
                  <c:pt idx="5">
                    <c:v>iOS</c:v>
                  </c:pt>
                  <c:pt idx="6">
                    <c:v>Android</c:v>
                  </c:pt>
                </c:lvl>
                <c:lvl>
                  <c:pt idx="0">
                    <c:v>Farm Friends</c:v>
                  </c:pt>
                  <c:pt idx="1">
                    <c:v>Galaxy Gardeners</c:v>
                  </c:pt>
                  <c:pt idx="3">
                    <c:v>Hero Helper HQ</c:v>
                  </c:pt>
                  <c:pt idx="4">
                    <c:v>Ninja Numbers</c:v>
                  </c:pt>
                  <c:pt idx="6">
                    <c:v>Super Chef Jr</c:v>
                  </c:pt>
                </c:lvl>
              </c:multiLvlStrCache>
            </c:multiLvlStrRef>
          </c:cat>
          <c:val>
            <c:numRef>
              <c:f>'UA Investment Analysis'!$E$36:$E$47</c:f>
              <c:numCache>
                <c:formatCode>"$"#,##0.00</c:formatCode>
                <c:ptCount val="7"/>
                <c:pt idx="0">
                  <c:v>1.3939632522513272</c:v>
                </c:pt>
                <c:pt idx="1">
                  <c:v>0.80730841321694424</c:v>
                </c:pt>
                <c:pt idx="2">
                  <c:v>1.1659453498345791</c:v>
                </c:pt>
                <c:pt idx="3">
                  <c:v>0.84025608390184303</c:v>
                </c:pt>
                <c:pt idx="4">
                  <c:v>3.2420576480561945</c:v>
                </c:pt>
                <c:pt idx="5">
                  <c:v>1.89058500385505</c:v>
                </c:pt>
                <c:pt idx="6">
                  <c:v>1.5660127032520326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1A-4BFA-9A5D-2B2FCC129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8797327"/>
        <c:axId val="1708795407"/>
      </c:barChart>
      <c:catAx>
        <c:axId val="170879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795407"/>
        <c:crosses val="autoZero"/>
        <c:auto val="1"/>
        <c:lblAlgn val="ctr"/>
        <c:lblOffset val="100"/>
        <c:noMultiLvlLbl val="0"/>
      </c:catAx>
      <c:valAx>
        <c:axId val="1708795407"/>
        <c:scaling>
          <c:orientation val="minMax"/>
        </c:scaling>
        <c:delete val="0"/>
        <c:axPos val="l"/>
        <c:numFmt formatCode="0.00&quot;×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79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Investment Priority</a:t>
            </a:r>
            <a:r>
              <a:rPr lang="en-US" baseline="0"/>
              <a:t> Top 5 Apps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'UA Investment Analysis'!$K$17</c:f>
              <c:strCache>
                <c:ptCount val="1"/>
                <c:pt idx="0">
                  <c:v>Priority_Score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'UA Investment Analysis'!$J$18:$J$22</c:f>
              <c:strCache>
                <c:ptCount val="5"/>
                <c:pt idx="0">
                  <c:v>Ninja Numbers</c:v>
                </c:pt>
                <c:pt idx="1">
                  <c:v>Hero Helper HQ</c:v>
                </c:pt>
                <c:pt idx="2">
                  <c:v>Galaxy Gardeners</c:v>
                </c:pt>
                <c:pt idx="3">
                  <c:v>Super Chef Jr</c:v>
                </c:pt>
                <c:pt idx="4">
                  <c:v>Farm Friends</c:v>
                </c:pt>
              </c:strCache>
            </c:strRef>
          </c:cat>
          <c:val>
            <c:numRef>
              <c:f>'UA Investment Analysis'!$K$18:$K$22</c:f>
              <c:numCache>
                <c:formatCode>0.000</c:formatCode>
                <c:ptCount val="5"/>
                <c:pt idx="0">
                  <c:v>2.6547812876007075</c:v>
                </c:pt>
                <c:pt idx="1">
                  <c:v>1.9852438588776327</c:v>
                </c:pt>
                <c:pt idx="2">
                  <c:v>1.7881914307734388</c:v>
                </c:pt>
                <c:pt idx="3">
                  <c:v>1.6920298173798412</c:v>
                </c:pt>
                <c:pt idx="4">
                  <c:v>1.6455625954975612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1-481E-A044-47AEE43CC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02657151"/>
        <c:axId val="1702654751"/>
        <c:axId val="0"/>
      </c:bar3DChart>
      <c:catAx>
        <c:axId val="17026571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654751"/>
        <c:crosses val="autoZero"/>
        <c:auto val="1"/>
        <c:lblAlgn val="ctr"/>
        <c:lblOffset val="100"/>
        <c:noMultiLvlLbl val="0"/>
      </c:catAx>
      <c:valAx>
        <c:axId val="1702654751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170265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Mini Project Workbook.xlsx]UA Investment Analysis!PivotTable4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'UA Investment Analysis'!$C$53</c:f>
              <c:strCache>
                <c:ptCount val="1"/>
                <c:pt idx="0">
                  <c:v>ROAS 30d (Average)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'UA Investment Analysis'!$B$54:$B$67</c:f>
              <c:multiLvlStrCache>
                <c:ptCount val="8"/>
                <c:lvl>
                  <c:pt idx="0">
                    <c:v>Canada</c:v>
                  </c:pt>
                  <c:pt idx="1">
                    <c:v>China</c:v>
                  </c:pt>
                  <c:pt idx="2">
                    <c:v>Comoros</c:v>
                  </c:pt>
                  <c:pt idx="3">
                    <c:v>Czechia</c:v>
                  </c:pt>
                  <c:pt idx="4">
                    <c:v>Guinea</c:v>
                  </c:pt>
                  <c:pt idx="5">
                    <c:v>Luxembourg</c:v>
                  </c:pt>
                  <c:pt idx="6">
                    <c:v>Maldives</c:v>
                  </c:pt>
                  <c:pt idx="7">
                    <c:v>Sri Lanka</c:v>
                  </c:pt>
                </c:lvl>
                <c:lvl>
                  <c:pt idx="0">
                    <c:v>Farm Friends</c:v>
                  </c:pt>
                  <c:pt idx="2">
                    <c:v>Galaxy Gardeners</c:v>
                  </c:pt>
                  <c:pt idx="4">
                    <c:v>Hero Helper HQ</c:v>
                  </c:pt>
                  <c:pt idx="5">
                    <c:v>Ninja Numbers</c:v>
                  </c:pt>
                  <c:pt idx="7">
                    <c:v>Super Chef Jr</c:v>
                  </c:pt>
                </c:lvl>
              </c:multiLvlStrCache>
            </c:multiLvlStrRef>
          </c:cat>
          <c:val>
            <c:numRef>
              <c:f>'UA Investment Analysis'!$C$54:$C$67</c:f>
              <c:numCache>
                <c:formatCode>0.00"×"</c:formatCode>
                <c:ptCount val="8"/>
                <c:pt idx="0">
                  <c:v>2.8880178316943108</c:v>
                </c:pt>
                <c:pt idx="1">
                  <c:v>1.7585861031995027</c:v>
                </c:pt>
                <c:pt idx="2">
                  <c:v>4.6493454406164796</c:v>
                </c:pt>
                <c:pt idx="3">
                  <c:v>1.1161493854408995</c:v>
                </c:pt>
                <c:pt idx="4">
                  <c:v>3.3500526296786948</c:v>
                </c:pt>
                <c:pt idx="5">
                  <c:v>1.7944161112858337</c:v>
                </c:pt>
                <c:pt idx="6">
                  <c:v>5.3755529874866834</c:v>
                </c:pt>
                <c:pt idx="7">
                  <c:v>2.3347162404507391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1E-45AD-896A-1A372084784B}"/>
            </c:ext>
          </c:extLst>
        </c:ser>
        <c:ser>
          <c:idx val="1"/>
          <c:order val="1"/>
          <c:tx>
            <c:strRef>
              <c:f>'UA Investment Analysis'!$D$53</c:f>
              <c:strCache>
                <c:ptCount val="1"/>
                <c:pt idx="0">
                  <c:v>CAC (Average)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'UA Investment Analysis'!$B$54:$B$67</c:f>
              <c:multiLvlStrCache>
                <c:ptCount val="8"/>
                <c:lvl>
                  <c:pt idx="0">
                    <c:v>Canada</c:v>
                  </c:pt>
                  <c:pt idx="1">
                    <c:v>China</c:v>
                  </c:pt>
                  <c:pt idx="2">
                    <c:v>Comoros</c:v>
                  </c:pt>
                  <c:pt idx="3">
                    <c:v>Czechia</c:v>
                  </c:pt>
                  <c:pt idx="4">
                    <c:v>Guinea</c:v>
                  </c:pt>
                  <c:pt idx="5">
                    <c:v>Luxembourg</c:v>
                  </c:pt>
                  <c:pt idx="6">
                    <c:v>Maldives</c:v>
                  </c:pt>
                  <c:pt idx="7">
                    <c:v>Sri Lanka</c:v>
                  </c:pt>
                </c:lvl>
                <c:lvl>
                  <c:pt idx="0">
                    <c:v>Farm Friends</c:v>
                  </c:pt>
                  <c:pt idx="2">
                    <c:v>Galaxy Gardeners</c:v>
                  </c:pt>
                  <c:pt idx="4">
                    <c:v>Hero Helper HQ</c:v>
                  </c:pt>
                  <c:pt idx="5">
                    <c:v>Ninja Numbers</c:v>
                  </c:pt>
                  <c:pt idx="7">
                    <c:v>Super Chef Jr</c:v>
                  </c:pt>
                </c:lvl>
              </c:multiLvlStrCache>
            </c:multiLvlStrRef>
          </c:cat>
          <c:val>
            <c:numRef>
              <c:f>'UA Investment Analysis'!$D$54:$D$67</c:f>
              <c:numCache>
                <c:formatCode>"$"#,##0.00</c:formatCode>
                <c:ptCount val="8"/>
                <c:pt idx="0">
                  <c:v>0.34690140845070422</c:v>
                </c:pt>
                <c:pt idx="1">
                  <c:v>0.28115238046847213</c:v>
                </c:pt>
                <c:pt idx="2">
                  <c:v>0.11883735875328015</c:v>
                </c:pt>
                <c:pt idx="3">
                  <c:v>0.61679818649675278</c:v>
                </c:pt>
                <c:pt idx="4">
                  <c:v>0.18331279910396089</c:v>
                </c:pt>
                <c:pt idx="5">
                  <c:v>0.7663182754026886</c:v>
                </c:pt>
                <c:pt idx="6">
                  <c:v>0.21349653045489589</c:v>
                </c:pt>
                <c:pt idx="7">
                  <c:v>0.35984247967479671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1E-45AD-896A-1A372084784B}"/>
            </c:ext>
          </c:extLst>
        </c:ser>
        <c:ser>
          <c:idx val="2"/>
          <c:order val="2"/>
          <c:tx>
            <c:strRef>
              <c:f>'UA Investment Analysis'!$E$53</c:f>
              <c:strCache>
                <c:ptCount val="1"/>
                <c:pt idx="0">
                  <c:v>LTV 90d (Average)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'UA Investment Analysis'!$B$54:$B$67</c:f>
              <c:multiLvlStrCache>
                <c:ptCount val="8"/>
                <c:lvl>
                  <c:pt idx="0">
                    <c:v>Canada</c:v>
                  </c:pt>
                  <c:pt idx="1">
                    <c:v>China</c:v>
                  </c:pt>
                  <c:pt idx="2">
                    <c:v>Comoros</c:v>
                  </c:pt>
                  <c:pt idx="3">
                    <c:v>Czechia</c:v>
                  </c:pt>
                  <c:pt idx="4">
                    <c:v>Guinea</c:v>
                  </c:pt>
                  <c:pt idx="5">
                    <c:v>Luxembourg</c:v>
                  </c:pt>
                  <c:pt idx="6">
                    <c:v>Maldives</c:v>
                  </c:pt>
                  <c:pt idx="7">
                    <c:v>Sri Lanka</c:v>
                  </c:pt>
                </c:lvl>
                <c:lvl>
                  <c:pt idx="0">
                    <c:v>Farm Friends</c:v>
                  </c:pt>
                  <c:pt idx="2">
                    <c:v>Galaxy Gardeners</c:v>
                  </c:pt>
                  <c:pt idx="4">
                    <c:v>Hero Helper HQ</c:v>
                  </c:pt>
                  <c:pt idx="5">
                    <c:v>Ninja Numbers</c:v>
                  </c:pt>
                  <c:pt idx="7">
                    <c:v>Super Chef Jr</c:v>
                  </c:pt>
                </c:lvl>
              </c:multiLvlStrCache>
            </c:multiLvlStrRef>
          </c:cat>
          <c:val>
            <c:numRef>
              <c:f>'UA Investment Analysis'!$E$54:$E$67</c:f>
              <c:numCache>
                <c:formatCode>"$"#,##0.00</c:formatCode>
                <c:ptCount val="8"/>
                <c:pt idx="0">
                  <c:v>1.8303781075716041</c:v>
                </c:pt>
                <c:pt idx="1">
                  <c:v>0.95754839693105021</c:v>
                </c:pt>
                <c:pt idx="2">
                  <c:v>0.80730841321694424</c:v>
                </c:pt>
                <c:pt idx="3">
                  <c:v>1.1659453498345791</c:v>
                </c:pt>
                <c:pt idx="4">
                  <c:v>0.84025608390184303</c:v>
                </c:pt>
                <c:pt idx="5">
                  <c:v>3.2420576480561945</c:v>
                </c:pt>
                <c:pt idx="6">
                  <c:v>1.89058500385505</c:v>
                </c:pt>
                <c:pt idx="7">
                  <c:v>1.5660127032520326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1E-45AD-896A-1A3720847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1739007"/>
        <c:axId val="1651740447"/>
      </c:barChart>
      <c:catAx>
        <c:axId val="165173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740447"/>
        <c:crosses val="autoZero"/>
        <c:auto val="1"/>
        <c:lblAlgn val="ctr"/>
        <c:lblOffset val="100"/>
        <c:noMultiLvlLbl val="0"/>
      </c:catAx>
      <c:valAx>
        <c:axId val="1651740447"/>
        <c:scaling>
          <c:orientation val="minMax"/>
        </c:scaling>
        <c:delete val="0"/>
        <c:axPos val="l"/>
        <c:numFmt formatCode="0.00&quot;×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73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ROAS vs CAC Top 5 Apps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Data!$D$17</c:f>
              <c:strCache>
                <c:ptCount val="1"/>
                <c:pt idx="0">
                  <c:v>ROAS 30d (Average)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Data!$B$18:$B$22</c:f>
              <c:strCache>
                <c:ptCount val="5"/>
                <c:pt idx="0">
                  <c:v>Ninja Numbers</c:v>
                </c:pt>
                <c:pt idx="1">
                  <c:v>Hero Helper HQ</c:v>
                </c:pt>
                <c:pt idx="2">
                  <c:v>Galaxy Gardeners</c:v>
                </c:pt>
                <c:pt idx="3">
                  <c:v>Super Chef Jr</c:v>
                </c:pt>
                <c:pt idx="4">
                  <c:v>Farm Friends</c:v>
                </c:pt>
              </c:strCache>
            </c:strRef>
          </c:cat>
          <c:val>
            <c:numRef>
              <c:f>Data!$D$18:$D$22</c:f>
              <c:numCache>
                <c:formatCode>0.00"×"</c:formatCode>
                <c:ptCount val="5"/>
                <c:pt idx="0">
                  <c:v>3.5849845493862587</c:v>
                </c:pt>
                <c:pt idx="1">
                  <c:v>3.3500526296786948</c:v>
                </c:pt>
                <c:pt idx="2">
                  <c:v>2.8827474130286896</c:v>
                </c:pt>
                <c:pt idx="3">
                  <c:v>2.3347162404507391</c:v>
                </c:pt>
                <c:pt idx="4">
                  <c:v>2.3233019674469069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92-4CBC-BD24-772BD1B7F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72417279"/>
        <c:axId val="1472418239"/>
      </c:barChart>
      <c:lineChart>
        <c:grouping val="standard"/>
        <c:varyColors val="0"/>
        <c:ser>
          <c:idx val="0"/>
          <c:order val="0"/>
          <c:tx>
            <c:strRef>
              <c:f>Data!$C$17</c:f>
              <c:strCache>
                <c:ptCount val="1"/>
                <c:pt idx="0">
                  <c:v>CAC (Average)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Data!$B$18:$B$22</c:f>
              <c:strCache>
                <c:ptCount val="5"/>
                <c:pt idx="0">
                  <c:v>Ninja Numbers</c:v>
                </c:pt>
                <c:pt idx="1">
                  <c:v>Hero Helper HQ</c:v>
                </c:pt>
                <c:pt idx="2">
                  <c:v>Galaxy Gardeners</c:v>
                </c:pt>
                <c:pt idx="3">
                  <c:v>Super Chef Jr</c:v>
                </c:pt>
                <c:pt idx="4">
                  <c:v>Farm Friends</c:v>
                </c:pt>
              </c:strCache>
            </c:strRef>
          </c:cat>
          <c:val>
            <c:numRef>
              <c:f>Data!$C$18:$C$22</c:f>
              <c:numCache>
                <c:formatCode>"$"#,##0.00</c:formatCode>
                <c:ptCount val="5"/>
                <c:pt idx="0">
                  <c:v>0.48990740292879226</c:v>
                </c:pt>
                <c:pt idx="1">
                  <c:v>0.18331279910396089</c:v>
                </c:pt>
                <c:pt idx="2">
                  <c:v>0.36781777262501647</c:v>
                </c:pt>
                <c:pt idx="3">
                  <c:v>0.35984247967479671</c:v>
                </c:pt>
                <c:pt idx="4">
                  <c:v>0.3140268944595882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92-4CBC-BD24-772BD1B7F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9583167"/>
        <c:axId val="1625469631"/>
      </c:lineChart>
      <c:catAx>
        <c:axId val="147241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418239"/>
        <c:crosses val="autoZero"/>
        <c:auto val="1"/>
        <c:lblAlgn val="ctr"/>
        <c:lblOffset val="100"/>
        <c:noMultiLvlLbl val="0"/>
      </c:catAx>
      <c:valAx>
        <c:axId val="1472418239"/>
        <c:scaling>
          <c:orientation val="minMax"/>
        </c:scaling>
        <c:delete val="0"/>
        <c:axPos val="l"/>
        <c:numFmt formatCode="0.00&quot;×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417279"/>
        <c:crosses val="autoZero"/>
        <c:crossBetween val="between"/>
      </c:valAx>
      <c:valAx>
        <c:axId val="1625469631"/>
        <c:scaling>
          <c:orientation val="minMax"/>
        </c:scaling>
        <c:delete val="0"/>
        <c:axPos val="r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583167"/>
        <c:crosses val="max"/>
        <c:crossBetween val="between"/>
      </c:valAx>
      <c:catAx>
        <c:axId val="18195831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54696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LTV vs CAC Top 5 Apps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Data!$D$24</c:f>
              <c:strCache>
                <c:ptCount val="1"/>
                <c:pt idx="0">
                  <c:v>LTV 90d (Average)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Data!$B$25:$B$29</c:f>
              <c:strCache>
                <c:ptCount val="5"/>
                <c:pt idx="0">
                  <c:v>Ninja Numbers</c:v>
                </c:pt>
                <c:pt idx="1">
                  <c:v>Super Chef Jr</c:v>
                </c:pt>
                <c:pt idx="2">
                  <c:v>Farm Friends</c:v>
                </c:pt>
                <c:pt idx="3">
                  <c:v>Galaxy Gardeners</c:v>
                </c:pt>
                <c:pt idx="4">
                  <c:v>Hero Helper HQ</c:v>
                </c:pt>
              </c:strCache>
            </c:strRef>
          </c:cat>
          <c:val>
            <c:numRef>
              <c:f>Data!$D$25:$D$29</c:f>
              <c:numCache>
                <c:formatCode>"$"#,##0.00</c:formatCode>
                <c:ptCount val="5"/>
                <c:pt idx="0">
                  <c:v>2.5663213259556223</c:v>
                </c:pt>
                <c:pt idx="1">
                  <c:v>1.5660127032520326</c:v>
                </c:pt>
                <c:pt idx="2">
                  <c:v>1.3939632522513272</c:v>
                </c:pt>
                <c:pt idx="3">
                  <c:v>0.98662688152576172</c:v>
                </c:pt>
                <c:pt idx="4">
                  <c:v>0.84025608390184303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C3-4033-B0AE-216F2B3A7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09915967"/>
        <c:axId val="1909913087"/>
      </c:barChart>
      <c:lineChart>
        <c:grouping val="standard"/>
        <c:varyColors val="0"/>
        <c:ser>
          <c:idx val="0"/>
          <c:order val="0"/>
          <c:tx>
            <c:strRef>
              <c:f>Data!$C$24</c:f>
              <c:strCache>
                <c:ptCount val="1"/>
                <c:pt idx="0">
                  <c:v>CAC (Average)</c:v>
                </c:pt>
              </c:strCache>
            </c:strRef>
          </c:tx>
          <c:spPr>
            <a:ln w="28575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Data!$B$25:$B$29</c:f>
              <c:strCache>
                <c:ptCount val="5"/>
                <c:pt idx="0">
                  <c:v>Ninja Numbers</c:v>
                </c:pt>
                <c:pt idx="1">
                  <c:v>Super Chef Jr</c:v>
                </c:pt>
                <c:pt idx="2">
                  <c:v>Farm Friends</c:v>
                </c:pt>
                <c:pt idx="3">
                  <c:v>Galaxy Gardeners</c:v>
                </c:pt>
                <c:pt idx="4">
                  <c:v>Hero Helper HQ</c:v>
                </c:pt>
              </c:strCache>
            </c:strRef>
          </c:cat>
          <c:val>
            <c:numRef>
              <c:f>Data!$C$25:$C$29</c:f>
              <c:numCache>
                <c:formatCode>"$"#,##0.00</c:formatCode>
                <c:ptCount val="5"/>
                <c:pt idx="0">
                  <c:v>0.48990740292879226</c:v>
                </c:pt>
                <c:pt idx="1">
                  <c:v>0.35984247967479671</c:v>
                </c:pt>
                <c:pt idx="2">
                  <c:v>0.3140268944595882</c:v>
                </c:pt>
                <c:pt idx="3">
                  <c:v>0.36781777262501647</c:v>
                </c:pt>
                <c:pt idx="4">
                  <c:v>0.18331279910396089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C3-4033-B0AE-216F2B3A7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2405279"/>
        <c:axId val="1472393279"/>
      </c:lineChart>
      <c:catAx>
        <c:axId val="190991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913087"/>
        <c:crosses val="autoZero"/>
        <c:auto val="1"/>
        <c:lblAlgn val="ctr"/>
        <c:lblOffset val="100"/>
        <c:noMultiLvlLbl val="0"/>
      </c:catAx>
      <c:valAx>
        <c:axId val="1909913087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915967"/>
        <c:crosses val="autoZero"/>
        <c:crossBetween val="between"/>
      </c:valAx>
      <c:valAx>
        <c:axId val="1472393279"/>
        <c:scaling>
          <c:orientation val="minMax"/>
        </c:scaling>
        <c:delete val="0"/>
        <c:axPos val="r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405279"/>
        <c:crosses val="max"/>
        <c:crossBetween val="between"/>
      </c:valAx>
      <c:catAx>
        <c:axId val="14724052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23932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133351</xdr:colOff>
      <xdr:row>31</xdr:row>
      <xdr:rowOff>71439</xdr:rowOff>
    </xdr:from>
    <xdr:to>
      <xdr:col>11</xdr:col>
      <xdr:colOff>1133475</xdr:colOff>
      <xdr:row>48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5BD247-4EF9-A028-D028-150A2D1CBD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9525</xdr:colOff>
      <xdr:row>15</xdr:row>
      <xdr:rowOff>0</xdr:rowOff>
    </xdr:from>
    <xdr:to>
      <xdr:col>15</xdr:col>
      <xdr:colOff>2762251</xdr:colOff>
      <xdr:row>30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8CEDF1-481D-8B44-409F-027F33EBA1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160420</xdr:colOff>
      <xdr:row>49</xdr:row>
      <xdr:rowOff>12031</xdr:rowOff>
    </xdr:from>
    <xdr:to>
      <xdr:col>11</xdr:col>
      <xdr:colOff>1092868</xdr:colOff>
      <xdr:row>66</xdr:row>
      <xdr:rowOff>170446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4C9C64-7FC6-C3A2-AD9D-28FD21097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240632</xdr:colOff>
      <xdr:row>32</xdr:row>
      <xdr:rowOff>132348</xdr:rowOff>
    </xdr:from>
    <xdr:to>
      <xdr:col>15</xdr:col>
      <xdr:colOff>2727158</xdr:colOff>
      <xdr:row>47</xdr:row>
      <xdr:rowOff>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6A0EE62-A6AB-C016-6CB1-E0D79CB07C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45118</xdr:colOff>
      <xdr:row>50</xdr:row>
      <xdr:rowOff>92242</xdr:rowOff>
    </xdr:from>
    <xdr:to>
      <xdr:col>15</xdr:col>
      <xdr:colOff>2651961</xdr:colOff>
      <xdr:row>64</xdr:row>
      <xdr:rowOff>168442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DEE0A74-FCFA-FA35-B663-56BC03B82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elo" refreshedDate="46082.782788425924" createdVersion="8" refreshedVersion="8" minRefreshableVersion="3" recordCount="200" xr:uid="{00000000-000A-0000-FFFF-FFFF00000000}">
  <cacheSource type="worksheet">
    <worksheetSource ref="A3:P203" sheet="Cleaned Data"/>
  </cacheSource>
  <cacheFields count="15">
    <cacheField name="App" numFmtId="0">
      <sharedItems count="25">
        <s v="Galaxy Gardeners"/>
        <s v="ABC Adventure"/>
        <s v="Magic Math Quest"/>
        <s v="Pirate Paint Party"/>
        <s v="Astronaut Academy"/>
        <s v="Robot Rhyme Run"/>
        <s v="Castle Color Camp"/>
        <s v="Dino Dash"/>
        <s v="Hero Helper HQ"/>
        <s v="Rainbow Rescue"/>
        <s v="Space Sprouts"/>
        <s v="Panda Playhouse"/>
        <s v="Ninja Numbers"/>
        <s v="Fairy Pet Care"/>
        <s v="Jungle Jumpers"/>
        <s v="Safari Snap"/>
        <s v="Mermaid Melody"/>
        <s v="Dragon Dress-Up"/>
        <s v="Farm Friends"/>
        <s v="Tiny Town Builders"/>
        <s v="Puzzle Planet"/>
        <s v="Storytime Studio"/>
        <s v="Super Chef Jr"/>
        <s v="Music Maker Minis"/>
        <s v="Ocean Odyssey Kids"/>
      </sharedItems>
    </cacheField>
    <cacheField name="Platform" numFmtId="0">
      <sharedItems count="3">
        <s v="iOS"/>
        <s v="Amazon"/>
        <s v="Android"/>
      </sharedItems>
    </cacheField>
    <cacheField name="Country" numFmtId="0">
      <sharedItems count="400">
        <s v="Afghanistan"/>
        <s v="Albania"/>
        <s v="Algeria"/>
        <s v="Andorra"/>
        <s v="Angola"/>
        <s v="Antigua and Barbuda"/>
        <s v="Argentina"/>
        <s v="Armeni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hutan"/>
        <s v="Bolivia"/>
        <s v="Bosnia and Herzegovina"/>
        <s v="Botswana"/>
        <s v="Brazil"/>
        <s v="Brunei"/>
        <s v="Bulgaria"/>
        <s v="Burkina Faso"/>
        <s v="Burundi"/>
        <s v="Cabo Verde"/>
        <s v="Cambodia"/>
        <s v="Cameroon"/>
        <s v="Canada"/>
        <s v="Central African Republic"/>
        <s v="Chad"/>
        <s v="Chile"/>
        <s v="China"/>
        <s v="Colombia"/>
        <s v="Comoros"/>
        <s v="Congo (Republic)"/>
        <s v="Costa Rica"/>
        <s v="Cote d’Ivoire"/>
        <s v="Croatia"/>
        <s v="Cuba"/>
        <s v="Cyprus"/>
        <s v="Czechia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Fiji"/>
        <s v="Finland"/>
        <s v="France"/>
        <s v="Gabon"/>
        <s v="Gambia"/>
        <s v="Georgia"/>
        <s v="Germany"/>
        <s v="Ghana"/>
        <s v="Greece"/>
        <s v="Grenada"/>
        <s v="Guatemala"/>
        <s v="Guinea"/>
        <s v="Guinea-Bissau"/>
        <s v="Guyana"/>
        <s v="Haiti"/>
        <s v="Honduras"/>
        <s v="Hungary"/>
        <s v="Iceland"/>
        <s v="India"/>
        <s v="Indonesia"/>
        <s v="Iran"/>
        <s v="Iraq"/>
        <s v="Ireland"/>
        <s v="Israel"/>
        <s v="Italy"/>
        <s v="Jamaica"/>
        <s v="Japan"/>
        <s v="Jordan"/>
        <s v="Kazakhstan"/>
        <s v="Kenya"/>
        <s v="Kiribati"/>
        <s v="Kuwait"/>
        <s v="Kyrgyzstan"/>
        <s v="Laos"/>
        <s v="Latvia"/>
        <s v="Lebanon"/>
        <s v="Lesotho"/>
        <s v="Liberia"/>
        <s v="Libya"/>
        <s v="Liechtenstein"/>
        <s v="Lithuania"/>
        <s v="Luxembourg"/>
        <s v="Madagascar"/>
        <s v="Malawi"/>
        <s v="Malaysia"/>
        <s v="Maldives"/>
        <s v="Mali"/>
        <s v="Malta"/>
        <s v="Marshall Islands"/>
        <s v="Mauritania"/>
        <s v="Mauritius"/>
        <s v="Mexico"/>
        <s v="Micronesia"/>
        <s v="Moldova"/>
        <s v="Monaco"/>
        <s v="Mongolia"/>
        <s v="Montenegro"/>
        <s v="Morocco"/>
        <s v="Mozambique"/>
        <s v="Myanmar"/>
        <s v="Namibia"/>
        <s v="Nauru"/>
        <s v="Nepal"/>
        <s v="Netherlands"/>
        <s v="New Zealand"/>
        <s v="Nicaragua"/>
        <s v="Niger"/>
        <s v="Nigeria"/>
        <s v="North Korea"/>
        <s v="North Macedonia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Qatar"/>
        <s v="Romania"/>
        <s v="Russia"/>
        <s v="Rwanda"/>
        <s v="Saint Kitts and Nevis"/>
        <s v="Saint Lucia"/>
        <s v="Saint Vincent and the Grenadines"/>
        <s v="Samoa"/>
        <s v="San Marino"/>
        <s v="Sao Tome and Principe"/>
        <s v="Saudi Arabia"/>
        <s v="Senegal"/>
        <s v="Serbia"/>
        <s v="Seychelles"/>
        <s v="Sierra Leone"/>
        <s v="Singapore"/>
        <s v="Slovakia"/>
        <s v="Slovenia"/>
        <s v="Solomon Islands"/>
        <s v="Somalia"/>
        <s v="South Africa"/>
        <s v="South Korea"/>
        <s v="South Sudan"/>
        <s v="Spain"/>
        <s v="Sri Lanka"/>
        <s v="Sudan"/>
        <s v="Suriname"/>
        <s v="Sweden"/>
        <s v="Switzerland"/>
        <s v="Syria"/>
        <s v="Taiwan"/>
        <s v="Tajikistan"/>
        <s v="Tanzania"/>
        <s v="Thailand"/>
        <s v="Timor-Leste"/>
        <s v="Togo"/>
        <s v="Tonga"/>
        <s v="Trinidad and Tobago"/>
        <s v="Tunisia"/>
        <s v="Turkey"/>
        <s v="Turkmenistan"/>
        <s v="Tuvalu"/>
        <s v="Uganda"/>
        <s v="Ukraine"/>
        <s v="United Arab Emirates"/>
        <s v="United Kingdom"/>
        <s v="United States"/>
        <s v="Uruguay"/>
        <s v="Uzbekistan"/>
        <s v="Vanuatu"/>
        <s v="Vatican City"/>
        <s v="Venezuela"/>
        <s v="Vietnam"/>
        <s v="Yemen"/>
        <s v="Zambia"/>
        <s v="Zimbabwe"/>
        <s v="Hong Kong"/>
        <s v="Macau"/>
        <s v="Puerto Rico"/>
        <s v="Guam"/>
        <s v="Greenland"/>
        <s v="Bermuda"/>
        <s v="Country_1" u="1"/>
        <s v="Country_2" u="1"/>
        <s v="Country_3" u="1"/>
        <s v="Country_4" u="1"/>
        <s v="Country_5" u="1"/>
        <s v="Country_6" u="1"/>
        <s v="Country_7" u="1"/>
        <s v="Country_8" u="1"/>
        <s v="Country_9" u="1"/>
        <s v="Country_10" u="1"/>
        <s v="Country_11" u="1"/>
        <s v="Country_12" u="1"/>
        <s v="Country_13" u="1"/>
        <s v="Country_14" u="1"/>
        <s v="Country_15" u="1"/>
        <s v="Country_16" u="1"/>
        <s v="Country_17" u="1"/>
        <s v="Country_18" u="1"/>
        <s v="Country_124" u="1"/>
        <s v="Country_20" u="1"/>
        <s v="Country_21" u="1"/>
        <s v="Country_22" u="1"/>
        <s v="Country_23" u="1"/>
        <s v="Country_24" u="1"/>
        <s v="Country_25" u="1"/>
        <s v="Country_26" u="1"/>
        <s v="Country_27" u="1"/>
        <s v="Country_28" u="1"/>
        <s v="Country_69" u="1"/>
        <s v="Country_30" u="1"/>
        <s v="Country_31" u="1"/>
        <s v="Country_99" u="1"/>
        <s v="Country_33" u="1"/>
        <s v="Country_34" u="1"/>
        <s v="Country_35" u="1"/>
        <s v="Country_148" u="1"/>
        <s v="Country_37" u="1"/>
        <s v="Country_38" u="1"/>
        <s v="Country_39" u="1"/>
        <s v="Country_40" u="1"/>
        <s v="Country_41" u="1"/>
        <s v="Country_42" u="1"/>
        <s v="Country_43" u="1"/>
        <s v="Country_44" u="1"/>
        <s v="Country_134" u="1"/>
        <s v="Country_46" u="1"/>
        <s v="Country_47" u="1"/>
        <s v="Country_48" u="1"/>
        <s v="Country_49" u="1"/>
        <s v="Country_50" u="1"/>
        <s v="Country_51" u="1"/>
        <s v="Country_52" u="1"/>
        <s v="Country_53" u="1"/>
        <s v="Country_54" u="1"/>
        <s v="Country_55" u="1"/>
        <s v="Country_56" u="1"/>
        <s v="Country_57" u="1"/>
        <s v="Country_58" u="1"/>
        <s v="Country_59" u="1"/>
        <s v="Country_60" u="1"/>
        <s v="Country_61" u="1"/>
        <s v="Country_62" u="1"/>
        <s v="Country_63" u="1"/>
        <s v="Country_64" u="1"/>
        <s v="Country_65" u="1"/>
        <s v="Country_66" u="1"/>
        <s v="Country_67" u="1"/>
        <s v="Country_68" u="1"/>
        <s v="Country_32" u="1"/>
        <s v="Country_70" u="1"/>
        <s v="Country_71" u="1"/>
        <s v="Country_72" u="1"/>
        <s v="Country_73" u="1"/>
        <s v="Country_74" u="1"/>
        <s v="Country_75" u="1"/>
        <s v="Country_76" u="1"/>
        <s v="Country_77" u="1"/>
        <s v="Country_78" u="1"/>
        <s v="Country_79" u="1"/>
        <s v="Country_80" u="1"/>
        <s v="Country_81" u="1"/>
        <s v="Country_82" u="1"/>
        <s v="Country_83" u="1"/>
        <s v="Country_84" u="1"/>
        <s v="Country_85" u="1"/>
        <s v="Country_86" u="1"/>
        <s v="Country_36" u="1"/>
        <s v="Country_87" u="1"/>
        <s v="Country_89" u="1"/>
        <s v="Country_90" u="1"/>
        <s v="Country_91" u="1"/>
        <s v="Country_92" u="1"/>
        <s v="Country_93" u="1"/>
        <s v="Country_94" u="1"/>
        <s v="Country_95" u="1"/>
        <s v="Country_96" u="1"/>
        <s v="Country_97" u="1"/>
        <s v="Country_98" u="1"/>
        <s v="Country_45" u="1"/>
        <s v="Country_100" u="1"/>
        <s v="Country_101" u="1"/>
        <s v="Country_102" u="1"/>
        <s v="Country_163" u="1"/>
        <s v="Country_104" u="1"/>
        <s v="Country_105" u="1"/>
        <s v="Country_106" u="1"/>
        <s v="Country_107" u="1"/>
        <s v="Country_108" u="1"/>
        <s v="Country_109" u="1"/>
        <s v="Country_110" u="1"/>
        <s v="Country_111" u="1"/>
        <s v="Country_112" u="1"/>
        <s v="Country_113" u="1"/>
        <s v="Country_114" u="1"/>
        <s v="Country_115" u="1"/>
        <s v="Country_116" u="1"/>
        <s v="Country_117" u="1"/>
        <s v="Country_118" u="1"/>
        <s v="Country_119" u="1"/>
        <s v="Country_120" u="1"/>
        <s v="Country_121" u="1"/>
        <s v="Country_122" u="1"/>
        <s v="Country_123" u="1"/>
        <s v="Country_88" u="1"/>
        <s v="Country_125" u="1"/>
        <s v="Country_126" u="1"/>
        <s v="Country_127" u="1"/>
        <s v="Country_128" u="1"/>
        <s v="Country_129" u="1"/>
        <s v="Country_130" u="1"/>
        <s v="Country_131" u="1"/>
        <s v="Country_132" u="1"/>
        <s v="Country_133" u="1"/>
        <s v="Country_156" u="1"/>
        <s v="Country_135" u="1"/>
        <s v="Country_136" u="1"/>
        <s v="Country_137" u="1"/>
        <s v="Country_138" u="1"/>
        <s v="Country_139" u="1"/>
        <s v="Country_140" u="1"/>
        <s v="Country_141" u="1"/>
        <s v="Country_142" u="1"/>
        <s v="Country_143" u="1"/>
        <s v="Country_144" u="1"/>
        <s v="Country_145" u="1"/>
        <s v="Country_146" u="1"/>
        <s v="Country_147" u="1"/>
        <s v="Country_29" u="1"/>
        <s v="Country_149" u="1"/>
        <s v="Country_150" u="1"/>
        <s v="Country_151" u="1"/>
        <s v="Country_152" u="1"/>
        <s v="Country_153" u="1"/>
        <s v="Country_154" u="1"/>
        <s v="Country_155" u="1"/>
        <s v="Country_19" u="1"/>
        <s v="Country_157" u="1"/>
        <s v="Country_158" u="1"/>
        <s v="Country_159" u="1"/>
        <s v="Country_160" u="1"/>
        <s v="Country_161" u="1"/>
        <s v="Country_162" u="1"/>
        <s v="Country_103" u="1"/>
        <s v="Country_164" u="1"/>
        <s v="Country_165" u="1"/>
        <s v="Country_166" u="1"/>
        <s v="Country_167" u="1"/>
        <s v="Country_168" u="1"/>
        <s v="Country_169" u="1"/>
        <s v="Country_170" u="1"/>
        <s v="Country_171" u="1"/>
        <s v="Country_172" u="1"/>
        <s v="Country_173" u="1"/>
        <s v="Country_174" u="1"/>
        <s v="Country_175" u="1"/>
        <s v="Country_176" u="1"/>
        <s v="Country_177" u="1"/>
        <s v="Country_178" u="1"/>
        <s v="Country_179" u="1"/>
        <s v="Country_180" u="1"/>
        <s v="Country_181" u="1"/>
        <s v="Country_182" u="1"/>
        <s v="Country_183" u="1"/>
        <s v="Country_184" u="1"/>
        <s v="Country_185" u="1"/>
        <s v="Country_186" u="1"/>
        <s v="Country_187" u="1"/>
        <s v="Country_188" u="1"/>
        <s v="Country_189" u="1"/>
        <s v="Country_190" u="1"/>
        <s v="Country_191" u="1"/>
        <s v="Country_192" u="1"/>
        <s v="Country_193" u="1"/>
        <s v="Country_194" u="1"/>
        <s v="Country_195" u="1"/>
        <s v="Country_196" u="1"/>
        <s v="Country_197" u="1"/>
        <s v="Country_198" u="1"/>
        <s v="Country_199" u="1"/>
        <s v="Country_200" u="1"/>
      </sharedItems>
    </cacheField>
    <cacheField name="UA_Spend_CAD" numFmtId="164">
      <sharedItems containsSemiMixedTypes="0" containsString="0" containsNumber="1" minValue="2099.2800000000002" maxValue="29988.03"/>
    </cacheField>
    <cacheField name="Installs" numFmtId="0">
      <sharedItems containsSemiMixedTypes="0" containsString="0" containsNumber="1" containsInteger="1" minValue="735" maxValue="19935"/>
    </cacheField>
    <cacheField name="Active_Users_30d" numFmtId="0">
      <sharedItems containsSemiMixedTypes="0" containsString="0" containsNumber="1" containsInteger="1" minValue="94" maxValue="9813"/>
    </cacheField>
    <cacheField name="Revenue_30d_CAD" numFmtId="164">
      <sharedItems containsSemiMixedTypes="0" containsString="0" containsNumber="1" minValue="79.27" maxValue="19809.810000000001"/>
    </cacheField>
    <cacheField name="Revenue_90d_CAD" numFmtId="164">
      <sharedItems containsSemiMixedTypes="0" containsString="0" containsNumber="1" minValue="155.69" maxValue="40338.480000000003"/>
    </cacheField>
    <cacheField name="CAC_CAD" numFmtId="164">
      <sharedItems containsSemiMixedTypes="0" containsString="0" containsNumber="1" minValue="0.11883735875328015" maxValue="25.137850340136055"/>
    </cacheField>
    <cacheField name="ROAS_30d" numFmtId="165">
      <sharedItems containsSemiMixedTypes="0" containsString="0" containsNumber="1" minValue="4.2903565212120158E-3" maxValue="5.3755529874866834"/>
    </cacheField>
    <cacheField name="LTV_90d_per_install" numFmtId="164">
      <sharedItems containsSemiMixedTypes="0" containsString="0" containsNumber="1" minValue="3.3021330963226313E-2" maxValue="3.2420576480561945"/>
    </cacheField>
    <cacheField name="Retention_30d" numFmtId="10">
      <sharedItems containsSemiMixedTypes="0" containsString="0" containsNumber="1" minValue="0.10612719751809721" maxValue="0.49889068172650264"/>
    </cacheField>
    <cacheField name="Payback_Flag" numFmtId="0">
      <sharedItems/>
    </cacheField>
    <cacheField name="LTV_gt_CAC" numFmtId="0">
      <sharedItems/>
    </cacheField>
    <cacheField name="Eligible_for_UA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2700.3"/>
    <n v="9512"/>
    <n v="1882"/>
    <n v="436.82"/>
    <n v="956.11"/>
    <n v="0.28388351555929353"/>
    <n v="0.161767211050624"/>
    <n v="0.10051619007569386"/>
    <n v="0.19785534062237173"/>
    <s v="Needs Optimization"/>
    <s v="NO"/>
    <x v="0"/>
  </r>
  <r>
    <x v="1"/>
    <x v="0"/>
    <x v="1"/>
    <n v="18533.79"/>
    <n v="1541"/>
    <n v="172"/>
    <n v="116.9"/>
    <n v="155.69"/>
    <n v="12.027118754055808"/>
    <n v="6.3073985407194107E-3"/>
    <n v="0.10103179753406878"/>
    <n v="0.11161583387410773"/>
    <s v="Needs Optimization"/>
    <s v="NO"/>
    <x v="0"/>
  </r>
  <r>
    <x v="2"/>
    <x v="1"/>
    <x v="2"/>
    <n v="20196.759999999998"/>
    <n v="18356"/>
    <n v="4915"/>
    <n v="3789.17"/>
    <n v="8878.6299999999992"/>
    <n v="1.1002811069949878"/>
    <n v="0.18761276561191004"/>
    <n v="0.48369089126171277"/>
    <n v="0.26775986053606449"/>
    <s v="Needs Optimization"/>
    <s v="NO"/>
    <x v="0"/>
  </r>
  <r>
    <x v="3"/>
    <x v="0"/>
    <x v="3"/>
    <n v="21547.9"/>
    <n v="11649"/>
    <n v="2459"/>
    <n v="2363.94"/>
    <n v="3363.06"/>
    <n v="1.8497639282341833"/>
    <n v="0.10970628228272825"/>
    <n v="0.28869945918104556"/>
    <n v="0.21109108077946606"/>
    <s v="Needs Optimization"/>
    <s v="NO"/>
    <x v="0"/>
  </r>
  <r>
    <x v="4"/>
    <x v="0"/>
    <x v="4"/>
    <n v="12051.42"/>
    <n v="11770"/>
    <n v="4019"/>
    <n v="9700.83"/>
    <n v="18853.310000000001"/>
    <n v="1.0239099405267629"/>
    <n v="0.8049532752157007"/>
    <n v="1.6018105352591334"/>
    <n v="0.34146134239592185"/>
    <s v="Breakeven"/>
    <s v="YES"/>
    <x v="0"/>
  </r>
  <r>
    <x v="4"/>
    <x v="0"/>
    <x v="5"/>
    <n v="17457.14"/>
    <n v="12350"/>
    <n v="4087"/>
    <n v="2262.81"/>
    <n v="3560.48"/>
    <n v="1.4135336032388663"/>
    <n v="0.12962088864498997"/>
    <n v="0.28829797570850202"/>
    <n v="0.3309311740890688"/>
    <s v="Needs Optimization"/>
    <s v="NO"/>
    <x v="0"/>
  </r>
  <r>
    <x v="5"/>
    <x v="0"/>
    <x v="6"/>
    <n v="25948.9"/>
    <n v="3809"/>
    <n v="960"/>
    <n v="1613.72"/>
    <n v="2412.81"/>
    <n v="6.8125229719086375"/>
    <n v="6.2188377927388058E-2"/>
    <n v="0.63344972433709634"/>
    <n v="0.25203465476503017"/>
    <s v="Needs Optimization"/>
    <s v="NO"/>
    <x v="0"/>
  </r>
  <r>
    <x v="6"/>
    <x v="0"/>
    <x v="7"/>
    <n v="20764.900000000001"/>
    <n v="2839"/>
    <n v="975"/>
    <n v="791.78"/>
    <n v="1184.57"/>
    <n v="7.3141599154631916"/>
    <n v="3.813069169608329E-2"/>
    <n v="0.41724903134906655"/>
    <n v="0.34343078548784783"/>
    <s v="Needs Optimization"/>
    <s v="NO"/>
    <x v="0"/>
  </r>
  <r>
    <x v="4"/>
    <x v="2"/>
    <x v="8"/>
    <n v="29706.65"/>
    <n v="18750"/>
    <n v="3522"/>
    <n v="4389.34"/>
    <n v="6000.78"/>
    <n v="1.5843546666666668"/>
    <n v="0.1477561421432575"/>
    <n v="0.32004159999999998"/>
    <n v="0.18784000000000001"/>
    <s v="Needs Optimization"/>
    <s v="NO"/>
    <x v="0"/>
  </r>
  <r>
    <x v="7"/>
    <x v="2"/>
    <x v="9"/>
    <n v="13232.61"/>
    <n v="2668"/>
    <n v="491"/>
    <n v="1568.26"/>
    <n v="2630.93"/>
    <n v="4.9597488755622194"/>
    <n v="0.11851479035503955"/>
    <n v="0.98610569715142427"/>
    <n v="0.18403298350824587"/>
    <s v="Needs Optimization"/>
    <s v="NO"/>
    <x v="0"/>
  </r>
  <r>
    <x v="0"/>
    <x v="2"/>
    <x v="10"/>
    <n v="13077.69"/>
    <n v="15535"/>
    <n v="2441"/>
    <n v="1826.96"/>
    <n v="3556.68"/>
    <n v="0.84182104924364343"/>
    <n v="0.13970051285815768"/>
    <n v="0.22894625040231734"/>
    <n v="0.15712906340521404"/>
    <s v="Needs Optimization"/>
    <s v="NO"/>
    <x v="0"/>
  </r>
  <r>
    <x v="8"/>
    <x v="1"/>
    <x v="11"/>
    <n v="13996.15"/>
    <n v="19621"/>
    <n v="5096"/>
    <n v="6162.23"/>
    <n v="11778.68"/>
    <n v="0.71332500891901529"/>
    <n v="0.44028036281405958"/>
    <n v="0.60030987207583708"/>
    <n v="0.25972172672136995"/>
    <s v="Needs Optimization"/>
    <s v="NO"/>
    <x v="0"/>
  </r>
  <r>
    <x v="9"/>
    <x v="0"/>
    <x v="12"/>
    <n v="26110.880000000001"/>
    <n v="5508"/>
    <n v="1933"/>
    <n v="3049.09"/>
    <n v="4196.26"/>
    <n v="4.7405374001452438"/>
    <n v="0.11677469315473091"/>
    <n v="0.76184822076978942"/>
    <n v="0.35094408133623822"/>
    <s v="Needs Optimization"/>
    <s v="NO"/>
    <x v="0"/>
  </r>
  <r>
    <x v="4"/>
    <x v="1"/>
    <x v="13"/>
    <n v="29891.4"/>
    <n v="17838"/>
    <n v="3577"/>
    <n v="7803.46"/>
    <n v="16514.78"/>
    <n v="1.6757147662293981"/>
    <n v="0.26106037187953723"/>
    <n v="0.92582015921067373"/>
    <n v="0.20052696490637964"/>
    <s v="Needs Optimization"/>
    <s v="NO"/>
    <x v="0"/>
  </r>
  <r>
    <x v="10"/>
    <x v="1"/>
    <x v="14"/>
    <n v="26774.080000000002"/>
    <n v="9243"/>
    <n v="3765"/>
    <n v="2449.4"/>
    <n v="3649.09"/>
    <n v="2.8966872227631724"/>
    <n v="9.1484002438179016E-2"/>
    <n v="0.39479497998485341"/>
    <n v="0.40733528075300229"/>
    <s v="Needs Optimization"/>
    <s v="NO"/>
    <x v="0"/>
  </r>
  <r>
    <x v="11"/>
    <x v="1"/>
    <x v="15"/>
    <n v="26523.88"/>
    <n v="9130"/>
    <n v="4462"/>
    <n v="7785.16"/>
    <n v="11114.82"/>
    <n v="2.9051347207009859"/>
    <n v="0.29351512674616231"/>
    <n v="1.2173953997809419"/>
    <n v="0.48871851040525738"/>
    <s v="Needs Optimization"/>
    <s v="NO"/>
    <x v="0"/>
  </r>
  <r>
    <x v="0"/>
    <x v="2"/>
    <x v="16"/>
    <n v="25566.74"/>
    <n v="17135"/>
    <n v="5887"/>
    <n v="4682.9799999999996"/>
    <n v="9118.9599999999991"/>
    <n v="1.4920770353078496"/>
    <n v="0.1831668800949984"/>
    <n v="0.53218325065655092"/>
    <n v="0.34356580099212136"/>
    <s v="Needs Optimization"/>
    <s v="NO"/>
    <x v="0"/>
  </r>
  <r>
    <x v="3"/>
    <x v="1"/>
    <x v="17"/>
    <n v="27717.82"/>
    <n v="11121"/>
    <n v="3285"/>
    <n v="1313.35"/>
    <n v="3260.24"/>
    <n v="2.4923855768366154"/>
    <n v="4.7382874988004108E-2"/>
    <n v="0.29316068698858017"/>
    <n v="0.29538710547612623"/>
    <s v="Needs Optimization"/>
    <s v="NO"/>
    <x v="0"/>
  </r>
  <r>
    <x v="1"/>
    <x v="0"/>
    <x v="18"/>
    <n v="4068.13"/>
    <n v="11823"/>
    <n v="5853"/>
    <n v="8325.7000000000007"/>
    <n v="17720.22"/>
    <n v="0.34408610335786183"/>
    <n v="2.0465668501252421"/>
    <n v="1.4987921847246892"/>
    <n v="0.49505201725450393"/>
    <s v="Profitable"/>
    <s v="YES"/>
    <x v="1"/>
  </r>
  <r>
    <x v="3"/>
    <x v="1"/>
    <x v="19"/>
    <n v="23443.360000000001"/>
    <n v="4707"/>
    <n v="1712"/>
    <n v="1822.11"/>
    <n v="3522.52"/>
    <n v="4.9805311238580838"/>
    <n v="7.7723926945625535E-2"/>
    <n v="0.7483577650308052"/>
    <n v="0.36371361801572127"/>
    <s v="Needs Optimization"/>
    <s v="NO"/>
    <x v="0"/>
  </r>
  <r>
    <x v="12"/>
    <x v="2"/>
    <x v="20"/>
    <n v="29002.16"/>
    <n v="18171"/>
    <n v="7306"/>
    <n v="15196.51"/>
    <n v="27031.41"/>
    <n v="1.5960684607341369"/>
    <n v="0.52397855883837618"/>
    <n v="1.487612679544329"/>
    <n v="0.40206923119255955"/>
    <s v="Needs Optimization"/>
    <s v="NO"/>
    <x v="0"/>
  </r>
  <r>
    <x v="13"/>
    <x v="1"/>
    <x v="21"/>
    <n v="12455.77"/>
    <n v="17459"/>
    <n v="4898"/>
    <n v="1362.86"/>
    <n v="1806.12"/>
    <n v="0.71342974969929551"/>
    <n v="0.10941595742374818"/>
    <n v="0.10344922389598488"/>
    <n v="0.28054298642533937"/>
    <s v="Needs Optimization"/>
    <s v="NO"/>
    <x v="0"/>
  </r>
  <r>
    <x v="1"/>
    <x v="0"/>
    <x v="22"/>
    <n v="18476.32"/>
    <n v="735"/>
    <n v="94"/>
    <n v="79.27"/>
    <n v="189.18"/>
    <n v="25.137850340136055"/>
    <n v="4.2903565212120158E-3"/>
    <n v="0.25738775510204082"/>
    <n v="0.12789115646258503"/>
    <s v="Needs Optimization"/>
    <s v="NO"/>
    <x v="0"/>
  </r>
  <r>
    <x v="14"/>
    <x v="0"/>
    <x v="23"/>
    <n v="16396.37"/>
    <n v="9625"/>
    <n v="3538"/>
    <n v="1145.57"/>
    <n v="2775.28"/>
    <n v="1.7035189610389609"/>
    <n v="6.9867293797346602E-2"/>
    <n v="0.28834077922077922"/>
    <n v="0.36758441558441557"/>
    <s v="Needs Optimization"/>
    <s v="NO"/>
    <x v="0"/>
  </r>
  <r>
    <x v="15"/>
    <x v="1"/>
    <x v="24"/>
    <n v="15234.79"/>
    <n v="15998"/>
    <n v="6767"/>
    <n v="1822.74"/>
    <n v="3312.4"/>
    <n v="0.95229341167645964"/>
    <n v="0.11964326387170417"/>
    <n v="0.20705088136017002"/>
    <n v="0.42299037379672461"/>
    <s v="Needs Optimization"/>
    <s v="NO"/>
    <x v="0"/>
  </r>
  <r>
    <x v="16"/>
    <x v="2"/>
    <x v="25"/>
    <n v="15076.69"/>
    <n v="2275"/>
    <n v="840"/>
    <n v="752.28"/>
    <n v="1341.42"/>
    <n v="6.6271164835164837"/>
    <n v="4.9896893814225796E-2"/>
    <n v="0.58963516483516487"/>
    <n v="0.36923076923076925"/>
    <s v="Needs Optimization"/>
    <s v="NO"/>
    <x v="0"/>
  </r>
  <r>
    <x v="14"/>
    <x v="0"/>
    <x v="26"/>
    <n v="8962.3799999999992"/>
    <n v="6732"/>
    <n v="2117"/>
    <n v="628.26"/>
    <n v="1165.52"/>
    <n v="1.3313101604278075"/>
    <n v="7.0099683343040578E-2"/>
    <n v="0.17313131313131314"/>
    <n v="0.31446821152703508"/>
    <s v="Needs Optimization"/>
    <s v="NO"/>
    <x v="0"/>
  </r>
  <r>
    <x v="9"/>
    <x v="2"/>
    <x v="27"/>
    <n v="24624.62"/>
    <n v="18533"/>
    <n v="2579"/>
    <n v="4145.13"/>
    <n v="5462.08"/>
    <n v="1.328690444072735"/>
    <n v="0.16833274990639452"/>
    <n v="0.29472184751524305"/>
    <n v="0.13915717908595479"/>
    <s v="Needs Optimization"/>
    <s v="NO"/>
    <x v="0"/>
  </r>
  <r>
    <x v="17"/>
    <x v="0"/>
    <x v="28"/>
    <n v="12888"/>
    <n v="13748"/>
    <n v="5357"/>
    <n v="16130.78"/>
    <n v="39953.79"/>
    <n v="0.93744544661041607"/>
    <n v="1.2516123525760399"/>
    <n v="2.9061528949665405"/>
    <n v="0.38965667733488507"/>
    <s v="Profitable"/>
    <s v="YES"/>
    <x v="1"/>
  </r>
  <r>
    <x v="11"/>
    <x v="2"/>
    <x v="29"/>
    <n v="9425.69"/>
    <n v="15409"/>
    <n v="3299"/>
    <n v="7039.98"/>
    <n v="15769.79"/>
    <n v="0.61170030501654882"/>
    <n v="0.74689280042097705"/>
    <n v="1.0234142384320852"/>
    <n v="0.21409565838146538"/>
    <s v="Needs Optimization"/>
    <s v="YES"/>
    <x v="0"/>
  </r>
  <r>
    <x v="13"/>
    <x v="1"/>
    <x v="30"/>
    <n v="15626.8"/>
    <n v="6722"/>
    <n v="1469"/>
    <n v="3458.84"/>
    <n v="6746.93"/>
    <n v="2.3247247842903898"/>
    <n v="0.22134026160186349"/>
    <n v="1.0037087176435584"/>
    <n v="0.21853614995537043"/>
    <s v="Needs Optimization"/>
    <s v="NO"/>
    <x v="0"/>
  </r>
  <r>
    <x v="18"/>
    <x v="0"/>
    <x v="31"/>
    <n v="3669.87"/>
    <n v="10579"/>
    <n v="3575"/>
    <n v="10598.65"/>
    <n v="19363.57"/>
    <n v="0.34690140845070422"/>
    <n v="2.8880178316943108"/>
    <n v="1.8303781075716041"/>
    <n v="0.33793364212118349"/>
    <s v="Profitable"/>
    <s v="YES"/>
    <x v="1"/>
  </r>
  <r>
    <x v="19"/>
    <x v="0"/>
    <x v="32"/>
    <n v="25837.59"/>
    <n v="2745"/>
    <n v="927"/>
    <n v="884.99"/>
    <n v="1277.81"/>
    <n v="9.4126010928961747"/>
    <n v="3.4252033568146253E-2"/>
    <n v="0.46550455373406191"/>
    <n v="0.3377049180327869"/>
    <s v="Needs Optimization"/>
    <s v="NO"/>
    <x v="0"/>
  </r>
  <r>
    <x v="15"/>
    <x v="0"/>
    <x v="33"/>
    <n v="18209.73"/>
    <n v="1802"/>
    <n v="626"/>
    <n v="747.83"/>
    <n v="1441.32"/>
    <n v="10.105288568257491"/>
    <n v="4.1067605066082806E-2"/>
    <n v="0.79984461709211985"/>
    <n v="0.34739178690344064"/>
    <s v="Needs Optimization"/>
    <s v="NO"/>
    <x v="0"/>
  </r>
  <r>
    <x v="20"/>
    <x v="0"/>
    <x v="34"/>
    <n v="20752.330000000002"/>
    <n v="10795"/>
    <n v="2110"/>
    <n v="2715.82"/>
    <n v="4508.25"/>
    <n v="1.9224020379805467"/>
    <n v="0.13086819648685233"/>
    <n v="0.41762389995368226"/>
    <n v="0.19546086150995831"/>
    <s v="Needs Optimization"/>
    <s v="NO"/>
    <x v="0"/>
  </r>
  <r>
    <x v="18"/>
    <x v="0"/>
    <x v="35"/>
    <n v="5533.36"/>
    <n v="19681"/>
    <n v="6284"/>
    <n v="9730.89"/>
    <n v="18845.509999999998"/>
    <n v="0.28115238046847213"/>
    <n v="1.7585861031995027"/>
    <n v="0.95754839693105021"/>
    <n v="0.31929271886591126"/>
    <s v="Profitable"/>
    <s v="YES"/>
    <x v="1"/>
  </r>
  <r>
    <x v="6"/>
    <x v="0"/>
    <x v="36"/>
    <n v="26619.57"/>
    <n v="12608"/>
    <n v="2698"/>
    <n v="3189.37"/>
    <n v="5303.99"/>
    <n v="2.1113237626903554"/>
    <n v="0.11981297969877049"/>
    <n v="0.4206844860406091"/>
    <n v="0.21399111675126903"/>
    <s v="Needs Optimization"/>
    <s v="NO"/>
    <x v="0"/>
  </r>
  <r>
    <x v="0"/>
    <x v="1"/>
    <x v="37"/>
    <n v="2219.0500000000002"/>
    <n v="18673"/>
    <n v="4103"/>
    <n v="10317.129999999999"/>
    <n v="15074.87"/>
    <n v="0.11883735875328015"/>
    <n v="4.6493454406164796"/>
    <n v="0.80730841321694424"/>
    <n v="0.2197290205108981"/>
    <s v="Profitable"/>
    <s v="YES"/>
    <x v="1"/>
  </r>
  <r>
    <x v="10"/>
    <x v="0"/>
    <x v="38"/>
    <n v="22787.67"/>
    <n v="5593"/>
    <n v="1168"/>
    <n v="2193.0300000000002"/>
    <n v="3386.73"/>
    <n v="4.0743196853209369"/>
    <n v="9.6237570580932602E-2"/>
    <n v="0.60553012694439479"/>
    <n v="0.20883246915787593"/>
    <s v="Needs Optimization"/>
    <s v="NO"/>
    <x v="0"/>
  </r>
  <r>
    <x v="0"/>
    <x v="2"/>
    <x v="39"/>
    <n v="16151.45"/>
    <n v="8728"/>
    <n v="4033"/>
    <n v="3111.65"/>
    <n v="5626.77"/>
    <n v="1.8505327681026582"/>
    <n v="0.19265452946949035"/>
    <n v="0.64468033913840517"/>
    <n v="0.46207607699358388"/>
    <s v="Needs Optimization"/>
    <s v="NO"/>
    <x v="0"/>
  </r>
  <r>
    <x v="20"/>
    <x v="0"/>
    <x v="40"/>
    <n v="2099.2800000000002"/>
    <n v="4786"/>
    <n v="1698"/>
    <n v="1780.49"/>
    <n v="3493.35"/>
    <n v="0.43862933556205602"/>
    <n v="0.84814317289737429"/>
    <n v="0.72991015461763475"/>
    <n v="0.35478478896782284"/>
    <s v="Breakeven"/>
    <s v="YES"/>
    <x v="0"/>
  </r>
  <r>
    <x v="16"/>
    <x v="1"/>
    <x v="41"/>
    <n v="2270.75"/>
    <n v="2965"/>
    <n v="1417"/>
    <n v="1105.17"/>
    <n v="1484.5"/>
    <n v="0.7658516020236088"/>
    <n v="0.48669822745788838"/>
    <n v="0.50067453625632374"/>
    <n v="0.47790893760539627"/>
    <s v="Needs Optimization"/>
    <s v="NO"/>
    <x v="0"/>
  </r>
  <r>
    <x v="6"/>
    <x v="1"/>
    <x v="42"/>
    <n v="17470.7"/>
    <n v="14583"/>
    <n v="2201"/>
    <n v="3019.98"/>
    <n v="6811.1"/>
    <n v="1.198018240416924"/>
    <n v="0.17285970224432906"/>
    <n v="0.46705753274360562"/>
    <n v="0.15092916409517931"/>
    <s v="Needs Optimization"/>
    <s v="NO"/>
    <x v="0"/>
  </r>
  <r>
    <x v="7"/>
    <x v="2"/>
    <x v="43"/>
    <n v="7882.14"/>
    <n v="8676"/>
    <n v="3182"/>
    <n v="3293.33"/>
    <n v="7738.19"/>
    <n v="0.90849930843706783"/>
    <n v="0.41782180981307104"/>
    <n v="0.89190756108805902"/>
    <n v="0.36675887505763022"/>
    <s v="Needs Optimization"/>
    <s v="NO"/>
    <x v="0"/>
  </r>
  <r>
    <x v="0"/>
    <x v="2"/>
    <x v="44"/>
    <n v="5033.6899999999996"/>
    <n v="8161"/>
    <n v="2355"/>
    <n v="5618.35"/>
    <n v="9515.2800000000007"/>
    <n v="0.61679818649675278"/>
    <n v="1.1161493854408995"/>
    <n v="1.1659453498345791"/>
    <n v="0.28856757750275702"/>
    <s v="Profitable"/>
    <s v="YES"/>
    <x v="1"/>
  </r>
  <r>
    <x v="11"/>
    <x v="0"/>
    <x v="45"/>
    <n v="22623.81"/>
    <n v="11385"/>
    <n v="4701"/>
    <n v="6233.48"/>
    <n v="13601.88"/>
    <n v="1.9871594202898553"/>
    <n v="0.27552742000573727"/>
    <n v="1.1947193675889327"/>
    <n v="0.4129117259552042"/>
    <s v="Needs Optimization"/>
    <s v="NO"/>
    <x v="0"/>
  </r>
  <r>
    <x v="21"/>
    <x v="2"/>
    <x v="46"/>
    <n v="6457.54"/>
    <n v="4042"/>
    <n v="1022"/>
    <n v="347.11"/>
    <n v="534.37"/>
    <n v="1.5976100940128648"/>
    <n v="5.375266742443717E-2"/>
    <n v="0.13220435428005939"/>
    <n v="0.25284512617516081"/>
    <s v="Needs Optimization"/>
    <s v="NO"/>
    <x v="0"/>
  </r>
  <r>
    <x v="22"/>
    <x v="2"/>
    <x v="47"/>
    <n v="10545.34"/>
    <n v="7957"/>
    <n v="1505"/>
    <n v="1966.48"/>
    <n v="3213.86"/>
    <n v="1.3252909387960288"/>
    <n v="0.1864785772673048"/>
    <n v="0.40390348121151187"/>
    <n v="0.1891416362950861"/>
    <s v="Needs Optimization"/>
    <s v="NO"/>
    <x v="0"/>
  </r>
  <r>
    <x v="9"/>
    <x v="2"/>
    <x v="48"/>
    <n v="11832.09"/>
    <n v="17192"/>
    <n v="4467"/>
    <n v="10056.69"/>
    <n v="24408.44"/>
    <n v="0.68823231735691015"/>
    <n v="0.84995043141152582"/>
    <n v="1.4197557003257328"/>
    <n v="0.25983015355979527"/>
    <s v="Breakeven"/>
    <s v="YES"/>
    <x v="0"/>
  </r>
  <r>
    <x v="10"/>
    <x v="2"/>
    <x v="49"/>
    <n v="6999.9"/>
    <n v="9198"/>
    <n v="1060"/>
    <n v="1159.72"/>
    <n v="2602.08"/>
    <n v="0.76102413568166993"/>
    <n v="0.1656766525236075"/>
    <n v="0.28289628180039139"/>
    <n v="0.11524244400956729"/>
    <s v="Needs Optimization"/>
    <s v="NO"/>
    <x v="0"/>
  </r>
  <r>
    <x v="16"/>
    <x v="1"/>
    <x v="50"/>
    <n v="29558.6"/>
    <n v="4289"/>
    <n v="1089"/>
    <n v="962.96"/>
    <n v="2070.89"/>
    <n v="6.8917230123571924"/>
    <n v="3.2577997604758012E-2"/>
    <n v="0.48283749125670317"/>
    <n v="0.25390533923991604"/>
    <s v="Needs Optimization"/>
    <s v="NO"/>
    <x v="0"/>
  </r>
  <r>
    <x v="11"/>
    <x v="1"/>
    <x v="51"/>
    <n v="27916.1"/>
    <n v="18143"/>
    <n v="6798"/>
    <n v="18815.55"/>
    <n v="28909"/>
    <n v="1.5386705616491207"/>
    <n v="0.67400353201199303"/>
    <n v="1.5933969023865955"/>
    <n v="0.37468996307115693"/>
    <s v="Needs Optimization"/>
    <s v="YES"/>
    <x v="0"/>
  </r>
  <r>
    <x v="16"/>
    <x v="0"/>
    <x v="52"/>
    <n v="28568.49"/>
    <n v="11319"/>
    <n v="3953"/>
    <n v="2772.58"/>
    <n v="6598.9"/>
    <n v="2.5239411608799367"/>
    <n v="9.7050281621464757E-2"/>
    <n v="0.58299319727891152"/>
    <n v="0.34923579821539003"/>
    <s v="Needs Optimization"/>
    <s v="NO"/>
    <x v="0"/>
  </r>
  <r>
    <x v="19"/>
    <x v="2"/>
    <x v="53"/>
    <n v="20673"/>
    <n v="11188"/>
    <n v="2919"/>
    <n v="1134.42"/>
    <n v="2047.1"/>
    <n v="1.8477833392920986"/>
    <n v="5.4874473951530986E-2"/>
    <n v="0.18297282803003218"/>
    <n v="0.26090454057919199"/>
    <s v="Needs Optimization"/>
    <s v="NO"/>
    <x v="0"/>
  </r>
  <r>
    <x v="4"/>
    <x v="1"/>
    <x v="54"/>
    <n v="22947.77"/>
    <n v="6202"/>
    <n v="2147"/>
    <n v="1953.84"/>
    <n v="2540.94"/>
    <n v="3.7000596581747822"/>
    <n v="8.5142913668735568E-2"/>
    <n v="0.40969687197678167"/>
    <n v="0.34617865204772652"/>
    <s v="Needs Optimization"/>
    <s v="NO"/>
    <x v="0"/>
  </r>
  <r>
    <x v="5"/>
    <x v="0"/>
    <x v="55"/>
    <n v="14036.87"/>
    <n v="19504"/>
    <n v="6683"/>
    <n v="5483.61"/>
    <n v="11574.54"/>
    <n v="0.71969185808039382"/>
    <n v="0.39065760386752885"/>
    <n v="0.59344442165709599"/>
    <n v="0.34264766201804758"/>
    <s v="Needs Optimization"/>
    <s v="NO"/>
    <x v="0"/>
  </r>
  <r>
    <x v="19"/>
    <x v="2"/>
    <x v="56"/>
    <n v="24224.59"/>
    <n v="6060"/>
    <n v="2203"/>
    <n v="2242.62"/>
    <n v="4581.93"/>
    <n v="3.9974570957095712"/>
    <n v="9.2576179823889687E-2"/>
    <n v="0.75609405940594065"/>
    <n v="0.36353135313531354"/>
    <s v="Needs Optimization"/>
    <s v="NO"/>
    <x v="0"/>
  </r>
  <r>
    <x v="9"/>
    <x v="0"/>
    <x v="57"/>
    <n v="20838.28"/>
    <n v="7861"/>
    <n v="3322"/>
    <n v="646.16"/>
    <n v="1602.94"/>
    <n v="2.650843404147055"/>
    <n v="3.1008317385120079E-2"/>
    <n v="0.20391044396387228"/>
    <n v="0.42259254547767461"/>
    <s v="Needs Optimization"/>
    <s v="NO"/>
    <x v="0"/>
  </r>
  <r>
    <x v="12"/>
    <x v="0"/>
    <x v="58"/>
    <n v="14751.65"/>
    <n v="19363"/>
    <n v="3442"/>
    <n v="5465.13"/>
    <n v="8704.76"/>
    <n v="0.76184733770593394"/>
    <n v="0.37047584507495773"/>
    <n v="0.44955637039714924"/>
    <n v="0.17776171047874814"/>
    <s v="Needs Optimization"/>
    <s v="NO"/>
    <x v="0"/>
  </r>
  <r>
    <x v="0"/>
    <x v="1"/>
    <x v="59"/>
    <n v="2155.25"/>
    <n v="3992"/>
    <n v="1642"/>
    <n v="1650.02"/>
    <n v="3522.95"/>
    <n v="0.53989228456913829"/>
    <n v="0.7655817190581139"/>
    <n v="0.88250250501002003"/>
    <n v="0.41132264529058116"/>
    <s v="Needs Optimization"/>
    <s v="YES"/>
    <x v="0"/>
  </r>
  <r>
    <x v="22"/>
    <x v="0"/>
    <x v="60"/>
    <n v="17607.36"/>
    <n v="4476"/>
    <n v="1264"/>
    <n v="2810.98"/>
    <n v="6986.61"/>
    <n v="3.93372654155496"/>
    <n v="0.15964801083183397"/>
    <n v="1.5609048257372653"/>
    <n v="0.28239499553172476"/>
    <s v="Needs Optimization"/>
    <s v="NO"/>
    <x v="0"/>
  </r>
  <r>
    <x v="12"/>
    <x v="2"/>
    <x v="61"/>
    <n v="28601.11"/>
    <n v="15002"/>
    <n v="5176"/>
    <n v="8570.4"/>
    <n v="19683.490000000002"/>
    <n v="1.9064864684708707"/>
    <n v="0.29965270578659359"/>
    <n v="1.312057725636582"/>
    <n v="0.34502066391147845"/>
    <s v="Needs Optimization"/>
    <s v="NO"/>
    <x v="0"/>
  </r>
  <r>
    <x v="1"/>
    <x v="2"/>
    <x v="62"/>
    <n v="27121.83"/>
    <n v="16054"/>
    <n v="4495"/>
    <n v="11446.04"/>
    <n v="18688.79"/>
    <n v="1.6894126074498568"/>
    <n v="0.42202314519337375"/>
    <n v="1.1641204684190856"/>
    <n v="0.27999252522735768"/>
    <s v="Needs Optimization"/>
    <s v="NO"/>
    <x v="0"/>
  </r>
  <r>
    <x v="3"/>
    <x v="1"/>
    <x v="63"/>
    <n v="15568.72"/>
    <n v="8339"/>
    <n v="1749"/>
    <n v="520.02"/>
    <n v="845.58"/>
    <n v="1.8669768557380979"/>
    <n v="3.3401589854528825E-2"/>
    <n v="0.10140064755965944"/>
    <n v="0.20973737858256386"/>
    <s v="Needs Optimization"/>
    <s v="NO"/>
    <x v="0"/>
  </r>
  <r>
    <x v="14"/>
    <x v="1"/>
    <x v="64"/>
    <n v="4256.17"/>
    <n v="5442"/>
    <n v="1047"/>
    <n v="2166"/>
    <n v="2982.74"/>
    <n v="0.78209665564130837"/>
    <n v="0.50890824379665289"/>
    <n v="0.54809628812936417"/>
    <n v="0.19239250275633957"/>
    <s v="Needs Optimization"/>
    <s v="NO"/>
    <x v="0"/>
  </r>
  <r>
    <x v="16"/>
    <x v="2"/>
    <x v="65"/>
    <n v="17193.11"/>
    <n v="14124"/>
    <n v="1764"/>
    <n v="2752.46"/>
    <n v="6120.8"/>
    <n v="1.217297507788162"/>
    <n v="0.16009087361158045"/>
    <n v="0.43336165392240161"/>
    <n v="0.12489379779099405"/>
    <s v="Needs Optimization"/>
    <s v="NO"/>
    <x v="0"/>
  </r>
  <r>
    <x v="23"/>
    <x v="0"/>
    <x v="66"/>
    <n v="25988.5"/>
    <n v="19364"/>
    <n v="4882"/>
    <n v="1150.08"/>
    <n v="2534.9699999999998"/>
    <n v="1.3421039041520346"/>
    <n v="4.4253419781826571E-2"/>
    <n v="0.13091148523032431"/>
    <n v="0.25211733112993184"/>
    <s v="Needs Optimization"/>
    <s v="NO"/>
    <x v="0"/>
  </r>
  <r>
    <x v="16"/>
    <x v="1"/>
    <x v="67"/>
    <n v="22930.44"/>
    <n v="18395"/>
    <n v="7724"/>
    <n v="15036.72"/>
    <n v="24472.6"/>
    <n v="1.2465583038869257"/>
    <n v="0.65575366194455931"/>
    <n v="1.3303941288393584"/>
    <n v="0.41989671106278881"/>
    <s v="Needs Optimization"/>
    <s v="YES"/>
    <x v="0"/>
  </r>
  <r>
    <x v="8"/>
    <x v="2"/>
    <x v="68"/>
    <n v="3600.63"/>
    <n v="19642"/>
    <n v="5710"/>
    <n v="12062.3"/>
    <n v="16504.310000000001"/>
    <n v="0.18331279910396089"/>
    <n v="3.3500526296786948"/>
    <n v="0.84025608390184303"/>
    <n v="0.29070359433866205"/>
    <s v="Profitable"/>
    <s v="YES"/>
    <x v="1"/>
  </r>
  <r>
    <x v="1"/>
    <x v="0"/>
    <x v="69"/>
    <n v="27394.01"/>
    <n v="19895"/>
    <n v="6480"/>
    <n v="2659.66"/>
    <n v="3890.66"/>
    <n v="1.3769293792410153"/>
    <n v="9.7089108166347318E-2"/>
    <n v="0.19555968836391052"/>
    <n v="0.32570997738125157"/>
    <s v="Needs Optimization"/>
    <s v="NO"/>
    <x v="0"/>
  </r>
  <r>
    <x v="22"/>
    <x v="0"/>
    <x v="70"/>
    <n v="3407.97"/>
    <n v="12922"/>
    <n v="2984"/>
    <n v="2616.65"/>
    <n v="6163.7"/>
    <n v="0.2637339421142238"/>
    <n v="0.76780312033263209"/>
    <n v="0.47699272558427486"/>
    <n v="0.23092400557189291"/>
    <s v="Needs Optimization"/>
    <s v="YES"/>
    <x v="0"/>
  </r>
  <r>
    <x v="20"/>
    <x v="2"/>
    <x v="71"/>
    <n v="9063.6"/>
    <n v="3183"/>
    <n v="917"/>
    <n v="545.04"/>
    <n v="1331.15"/>
    <n v="2.8475023562676722"/>
    <n v="6.0135045677214345E-2"/>
    <n v="0.41820609487904498"/>
    <n v="0.28809299403078859"/>
    <s v="Needs Optimization"/>
    <s v="NO"/>
    <x v="0"/>
  </r>
  <r>
    <x v="21"/>
    <x v="1"/>
    <x v="72"/>
    <n v="3921.31"/>
    <n v="1819"/>
    <n v="730"/>
    <n v="851.4"/>
    <n v="1127.6400000000001"/>
    <n v="2.1557504123144584"/>
    <n v="0.217121319150998"/>
    <n v="0.61992303463441456"/>
    <n v="0.40131940626717977"/>
    <s v="Needs Optimization"/>
    <s v="NO"/>
    <x v="0"/>
  </r>
  <r>
    <x v="18"/>
    <x v="0"/>
    <x v="73"/>
    <n v="5534.19"/>
    <n v="4248"/>
    <n v="1383"/>
    <n v="1233.46"/>
    <n v="2738.62"/>
    <n v="1.3027754237288134"/>
    <n v="0.22287995171831834"/>
    <n v="0.64468455743879471"/>
    <n v="0.32556497175141241"/>
    <s v="Needs Optimization"/>
    <s v="NO"/>
    <x v="0"/>
  </r>
  <r>
    <x v="24"/>
    <x v="1"/>
    <x v="74"/>
    <n v="19002.93"/>
    <n v="4253"/>
    <n v="1748"/>
    <n v="758.29"/>
    <n v="1512.35"/>
    <n v="4.4681236774041855"/>
    <n v="3.9903846406843572E-2"/>
    <n v="0.3555960498471667"/>
    <n v="0.41100399717846225"/>
    <s v="Needs Optimization"/>
    <s v="NO"/>
    <x v="0"/>
  </r>
  <r>
    <x v="5"/>
    <x v="1"/>
    <x v="75"/>
    <n v="20965.72"/>
    <n v="12798"/>
    <n v="3310"/>
    <n v="2087.2800000000002"/>
    <n v="4443.2700000000004"/>
    <n v="1.6382028441944054"/>
    <n v="9.9556800338838833E-2"/>
    <n v="0.3471847163619316"/>
    <n v="0.2586341615877481"/>
    <s v="Needs Optimization"/>
    <s v="NO"/>
    <x v="0"/>
  </r>
  <r>
    <x v="0"/>
    <x v="0"/>
    <x v="76"/>
    <n v="4853.24"/>
    <n v="10382"/>
    <n v="4569"/>
    <n v="2930.89"/>
    <n v="7270.4"/>
    <n v="0.46746676940859178"/>
    <n v="0.60390378386397536"/>
    <n v="0.70028896166441912"/>
    <n v="0.44008861491042189"/>
    <s v="Needs Optimization"/>
    <s v="YES"/>
    <x v="0"/>
  </r>
  <r>
    <x v="7"/>
    <x v="2"/>
    <x v="77"/>
    <n v="16916.87"/>
    <n v="12642"/>
    <n v="1612"/>
    <n v="712.37"/>
    <n v="1285.17"/>
    <n v="1.3381482360386014"/>
    <n v="4.2110035721738125E-2"/>
    <n v="0.10165875652586617"/>
    <n v="0.12751146970416075"/>
    <s v="Needs Optimization"/>
    <s v="NO"/>
    <x v="0"/>
  </r>
  <r>
    <x v="17"/>
    <x v="0"/>
    <x v="78"/>
    <n v="14138.66"/>
    <n v="12368"/>
    <n v="4381"/>
    <n v="10539.1"/>
    <n v="19208.400000000001"/>
    <n v="1.1431646183699871"/>
    <n v="0.74541010251325091"/>
    <n v="1.5530724450194051"/>
    <n v="0.35422056921086675"/>
    <s v="Needs Optimization"/>
    <s v="YES"/>
    <x v="0"/>
  </r>
  <r>
    <x v="8"/>
    <x v="1"/>
    <x v="79"/>
    <n v="29033.26"/>
    <n v="9350"/>
    <n v="3238"/>
    <n v="9140.6299999999992"/>
    <n v="16981.91"/>
    <n v="3.1051614973262032"/>
    <n v="0.31483305698361119"/>
    <n v="1.8162470588235293"/>
    <n v="0.34631016042780749"/>
    <s v="Needs Optimization"/>
    <s v="NO"/>
    <x v="0"/>
  </r>
  <r>
    <x v="8"/>
    <x v="1"/>
    <x v="80"/>
    <n v="9515.08"/>
    <n v="8544"/>
    <n v="3693"/>
    <n v="2589.14"/>
    <n v="4123.5600000000004"/>
    <n v="1.1136563670411985"/>
    <n v="0.27210911521500608"/>
    <n v="0.48262640449438204"/>
    <n v="0.43223314606741575"/>
    <s v="Needs Optimization"/>
    <s v="NO"/>
    <x v="0"/>
  </r>
  <r>
    <x v="22"/>
    <x v="1"/>
    <x v="81"/>
    <n v="19089.29"/>
    <n v="12918"/>
    <n v="3030"/>
    <n v="2760.45"/>
    <n v="5203.6099999999997"/>
    <n v="1.4777279764669453"/>
    <n v="0.14460726407320543"/>
    <n v="0.40281854776281156"/>
    <n v="0.23455643288434741"/>
    <s v="Needs Optimization"/>
    <s v="NO"/>
    <x v="0"/>
  </r>
  <r>
    <x v="6"/>
    <x v="2"/>
    <x v="82"/>
    <n v="11529.49"/>
    <n v="9552"/>
    <n v="3078"/>
    <n v="2147.27"/>
    <n v="3413.36"/>
    <n v="1.2070236599664992"/>
    <n v="0.18624154234055454"/>
    <n v="0.35734505862646565"/>
    <n v="0.32223618090452261"/>
    <s v="Needs Optimization"/>
    <s v="NO"/>
    <x v="0"/>
  </r>
  <r>
    <x v="16"/>
    <x v="2"/>
    <x v="83"/>
    <n v="17544.93"/>
    <n v="8374"/>
    <n v="3150"/>
    <n v="4678.47"/>
    <n v="10533.67"/>
    <n v="2.0951671841413901"/>
    <n v="0.26665652128563638"/>
    <n v="1.2579018390255552"/>
    <n v="0.37616431812753759"/>
    <s v="Needs Optimization"/>
    <s v="NO"/>
    <x v="0"/>
  </r>
  <r>
    <x v="9"/>
    <x v="2"/>
    <x v="84"/>
    <n v="8204.7000000000007"/>
    <n v="8472"/>
    <n v="1884"/>
    <n v="2508.92"/>
    <n v="4860.04"/>
    <n v="0.96844900849858362"/>
    <n v="0.30579058344607357"/>
    <n v="0.57365911237016054"/>
    <n v="0.22237960339943344"/>
    <s v="Needs Optimization"/>
    <s v="NO"/>
    <x v="0"/>
  </r>
  <r>
    <x v="16"/>
    <x v="1"/>
    <x v="85"/>
    <n v="17410.88"/>
    <n v="12028"/>
    <n v="4584"/>
    <n v="2347.71"/>
    <n v="3391.94"/>
    <n v="1.4475290987695377"/>
    <n v="0.13484154735429799"/>
    <n v="0.28200365813102762"/>
    <n v="0.38111074160292652"/>
    <s v="Needs Optimization"/>
    <s v="NO"/>
    <x v="0"/>
  </r>
  <r>
    <x v="14"/>
    <x v="0"/>
    <x v="86"/>
    <n v="2260.83"/>
    <n v="18948"/>
    <n v="9444"/>
    <n v="2356.39"/>
    <n v="3813.21"/>
    <n v="0.11931760607979734"/>
    <n v="1.0422676627610215"/>
    <n v="0.20124604179860672"/>
    <n v="0.49841671944268523"/>
    <s v="Profitable"/>
    <s v="YES"/>
    <x v="1"/>
  </r>
  <r>
    <x v="2"/>
    <x v="2"/>
    <x v="87"/>
    <n v="5347.53"/>
    <n v="18059"/>
    <n v="8674"/>
    <n v="7629.26"/>
    <n v="16680.05"/>
    <n v="0.29611440279085222"/>
    <n v="1.4266885833272558"/>
    <n v="0.92364195138158256"/>
    <n v="0.480314524613766"/>
    <s v="Profitable"/>
    <s v="YES"/>
    <x v="1"/>
  </r>
  <r>
    <x v="6"/>
    <x v="0"/>
    <x v="88"/>
    <n v="10463.49"/>
    <n v="18002"/>
    <n v="2711"/>
    <n v="360.15"/>
    <n v="594.45000000000005"/>
    <n v="0.58124041773136315"/>
    <n v="3.4419682151939746E-2"/>
    <n v="3.3021330963226313E-2"/>
    <n v="0.15059437840239973"/>
    <s v="Needs Optimization"/>
    <s v="NO"/>
    <x v="0"/>
  </r>
  <r>
    <x v="18"/>
    <x v="1"/>
    <x v="89"/>
    <n v="26316.91"/>
    <n v="16585"/>
    <n v="2339"/>
    <n v="498.56"/>
    <n v="934.53"/>
    <n v="1.5867898703647874"/>
    <n v="1.8944473344324999E-2"/>
    <n v="5.6347904733192643E-2"/>
    <n v="0.14103105215556225"/>
    <s v="Needs Optimization"/>
    <s v="NO"/>
    <x v="0"/>
  </r>
  <r>
    <x v="14"/>
    <x v="0"/>
    <x v="90"/>
    <n v="29033.93"/>
    <n v="8773"/>
    <n v="4179"/>
    <n v="7293.7"/>
    <n v="12988.98"/>
    <n v="3.309464265359626"/>
    <n v="0.25121297736820331"/>
    <n v="1.4805630913028609"/>
    <n v="0.47634788555796193"/>
    <s v="Needs Optimization"/>
    <s v="NO"/>
    <x v="0"/>
  </r>
  <r>
    <x v="9"/>
    <x v="1"/>
    <x v="91"/>
    <n v="19624.48"/>
    <n v="2256"/>
    <n v="362"/>
    <n v="1076.92"/>
    <n v="1510.08"/>
    <n v="8.6987943262411349"/>
    <n v="5.4876358507333703E-2"/>
    <n v="0.66936170212765955"/>
    <n v="0.16046099290780141"/>
    <s v="Needs Optimization"/>
    <s v="NO"/>
    <x v="0"/>
  </r>
  <r>
    <x v="21"/>
    <x v="0"/>
    <x v="92"/>
    <n v="17626.04"/>
    <n v="14137"/>
    <n v="4842"/>
    <n v="5191.22"/>
    <n v="10003.93"/>
    <n v="1.246802008912782"/>
    <n v="0.29451992620009942"/>
    <n v="0.70764164957204501"/>
    <n v="0.34250548206833131"/>
    <s v="Needs Optimization"/>
    <s v="NO"/>
    <x v="0"/>
  </r>
  <r>
    <x v="22"/>
    <x v="2"/>
    <x v="93"/>
    <n v="10325.89"/>
    <n v="19784"/>
    <n v="9813"/>
    <n v="9969.32"/>
    <n v="20253.240000000002"/>
    <n v="0.52193135867367568"/>
    <n v="0.96546835188056435"/>
    <n v="1.023718156085726"/>
    <n v="0.49600687424181156"/>
    <s v="Breakeven"/>
    <s v="YES"/>
    <x v="0"/>
  </r>
  <r>
    <x v="8"/>
    <x v="0"/>
    <x v="94"/>
    <n v="28532.53"/>
    <n v="7308"/>
    <n v="2559"/>
    <n v="792.99"/>
    <n v="1259.1400000000001"/>
    <n v="3.9042870826491516"/>
    <n v="2.7792488082900465E-2"/>
    <n v="0.17229611384783799"/>
    <n v="0.35016420361247946"/>
    <s v="Needs Optimization"/>
    <s v="NO"/>
    <x v="0"/>
  </r>
  <r>
    <x v="1"/>
    <x v="0"/>
    <x v="95"/>
    <n v="6382.91"/>
    <n v="13886"/>
    <n v="3890"/>
    <n v="3824.02"/>
    <n v="6033.43"/>
    <n v="0.45966513034711221"/>
    <n v="0.59910291700807317"/>
    <n v="0.43449733544577274"/>
    <n v="0.28013826875990205"/>
    <s v="Needs Optimization"/>
    <s v="NO"/>
    <x v="0"/>
  </r>
  <r>
    <x v="23"/>
    <x v="2"/>
    <x v="96"/>
    <n v="21683.65"/>
    <n v="15377"/>
    <n v="1975"/>
    <n v="946.01"/>
    <n v="2128.0500000000002"/>
    <n v="1.4101352669571439"/>
    <n v="4.362780251479801E-2"/>
    <n v="0.1383917539181895"/>
    <n v="0.12843857709566237"/>
    <s v="Needs Optimization"/>
    <s v="NO"/>
    <x v="0"/>
  </r>
  <r>
    <x v="15"/>
    <x v="1"/>
    <x v="97"/>
    <n v="24509.360000000001"/>
    <n v="6982"/>
    <n v="1885"/>
    <n v="3009.66"/>
    <n v="7193.37"/>
    <n v="3.5103637926095677"/>
    <n v="0.122796352087529"/>
    <n v="1.0302735605843598"/>
    <n v="0.26997994843884277"/>
    <s v="Needs Optimization"/>
    <s v="NO"/>
    <x v="0"/>
  </r>
  <r>
    <x v="12"/>
    <x v="1"/>
    <x v="98"/>
    <n v="6327.49"/>
    <n v="8257"/>
    <n v="3681"/>
    <n v="11354.15"/>
    <n v="26769.67"/>
    <n v="0.7663182754026886"/>
    <n v="1.7944161112858337"/>
    <n v="3.2420576480561945"/>
    <n v="0.44580356061523557"/>
    <s v="Profitable"/>
    <s v="YES"/>
    <x v="1"/>
  </r>
  <r>
    <x v="22"/>
    <x v="1"/>
    <x v="99"/>
    <n v="10514.55"/>
    <n v="13689"/>
    <n v="6530"/>
    <n v="7975.18"/>
    <n v="11137.58"/>
    <n v="0.76810212579443349"/>
    <n v="0.758489902088059"/>
    <n v="0.81361531156402955"/>
    <n v="0.47702534882022063"/>
    <s v="Needs Optimization"/>
    <s v="YES"/>
    <x v="0"/>
  </r>
  <r>
    <x v="7"/>
    <x v="2"/>
    <x v="100"/>
    <n v="22566.95"/>
    <n v="8704"/>
    <n v="960"/>
    <n v="853.53"/>
    <n v="1990.96"/>
    <n v="2.5927102481617648"/>
    <n v="3.7822124832996927E-2"/>
    <n v="0.22874080882352943"/>
    <n v="0.11029411764705882"/>
    <s v="Needs Optimization"/>
    <s v="NO"/>
    <x v="0"/>
  </r>
  <r>
    <x v="15"/>
    <x v="0"/>
    <x v="101"/>
    <n v="29988.03"/>
    <n v="9331"/>
    <n v="3083"/>
    <n v="2818.19"/>
    <n v="5418.69"/>
    <n v="3.2138066659522022"/>
    <n v="9.3977163554925081E-2"/>
    <n v="0.5807191083485157"/>
    <n v="0.33040402957882326"/>
    <s v="Needs Optimization"/>
    <s v="NO"/>
    <x v="0"/>
  </r>
  <r>
    <x v="12"/>
    <x v="0"/>
    <x v="102"/>
    <n v="2215.2399999999998"/>
    <n v="10376"/>
    <n v="4961"/>
    <n v="11908.14"/>
    <n v="19616.71"/>
    <n v="0.21349653045489589"/>
    <n v="5.3755529874866834"/>
    <n v="1.89058500385505"/>
    <n v="0.47812259059367773"/>
    <s v="Profitable"/>
    <s v="YES"/>
    <x v="1"/>
  </r>
  <r>
    <x v="16"/>
    <x v="2"/>
    <x v="103"/>
    <n v="10989.63"/>
    <n v="3927"/>
    <n v="1740"/>
    <n v="2023.82"/>
    <n v="3330.93"/>
    <n v="2.7984797555385788"/>
    <n v="0.18415724642230905"/>
    <n v="0.84821237585943465"/>
    <n v="0.44308632543926663"/>
    <s v="Needs Optimization"/>
    <s v="NO"/>
    <x v="0"/>
  </r>
  <r>
    <x v="4"/>
    <x v="1"/>
    <x v="104"/>
    <n v="3027.52"/>
    <n v="3385"/>
    <n v="764"/>
    <n v="1145.57"/>
    <n v="2044.85"/>
    <n v="0.89439290989660269"/>
    <n v="0.37838560934362114"/>
    <n v="0.60409158050221567"/>
    <n v="0.22570162481536188"/>
    <s v="Needs Optimization"/>
    <s v="NO"/>
    <x v="0"/>
  </r>
  <r>
    <x v="19"/>
    <x v="0"/>
    <x v="105"/>
    <n v="20414.490000000002"/>
    <n v="18279"/>
    <n v="5205"/>
    <n v="2084.21"/>
    <n v="4266.71"/>
    <n v="1.1168275069752176"/>
    <n v="0.10209463964076496"/>
    <n v="0.23342141254992069"/>
    <n v="0.28475299524043984"/>
    <s v="Needs Optimization"/>
    <s v="NO"/>
    <x v="0"/>
  </r>
  <r>
    <x v="17"/>
    <x v="1"/>
    <x v="106"/>
    <n v="14377.15"/>
    <n v="2191"/>
    <n v="397"/>
    <n v="845.32"/>
    <n v="1543.33"/>
    <n v="6.5619123687813783"/>
    <n v="5.8796075717370971E-2"/>
    <n v="0.70439525330899133"/>
    <n v="0.1811958010041077"/>
    <s v="Needs Optimization"/>
    <s v="NO"/>
    <x v="0"/>
  </r>
  <r>
    <x v="23"/>
    <x v="2"/>
    <x v="107"/>
    <n v="5399.93"/>
    <n v="8341"/>
    <n v="3202"/>
    <n v="827.42"/>
    <n v="1480.74"/>
    <n v="0.64739599568397077"/>
    <n v="0.15322791221367682"/>
    <n v="0.17752547656156337"/>
    <n v="0.38388682412180791"/>
    <s v="Needs Optimization"/>
    <s v="NO"/>
    <x v="0"/>
  </r>
  <r>
    <x v="21"/>
    <x v="0"/>
    <x v="108"/>
    <n v="14920.54"/>
    <n v="4349"/>
    <n v="1561"/>
    <n v="1462.31"/>
    <n v="2413.15"/>
    <n v="3.4307978845711662"/>
    <n v="9.8006506466924104E-2"/>
    <n v="0.55487468383536442"/>
    <n v="0.35893308806622209"/>
    <s v="Needs Optimization"/>
    <s v="NO"/>
    <x v="0"/>
  </r>
  <r>
    <x v="23"/>
    <x v="2"/>
    <x v="109"/>
    <n v="13633.73"/>
    <n v="16310"/>
    <n v="8026"/>
    <n v="6448.7"/>
    <n v="11351.67"/>
    <n v="0.83591232372777435"/>
    <n v="0.47299601796426949"/>
    <n v="0.69599448191293689"/>
    <n v="0.4920907418761496"/>
    <s v="Needs Optimization"/>
    <s v="NO"/>
    <x v="0"/>
  </r>
  <r>
    <x v="12"/>
    <x v="1"/>
    <x v="110"/>
    <n v="22896.19"/>
    <n v="4973"/>
    <n v="2216"/>
    <n v="2532.59"/>
    <n v="4553.42"/>
    <n v="4.6041001407601039"/>
    <n v="0.11061185288906147"/>
    <n v="0.9156283933239493"/>
    <n v="0.4456062738789463"/>
    <s v="Needs Optimization"/>
    <s v="NO"/>
    <x v="0"/>
  </r>
  <r>
    <x v="19"/>
    <x v="2"/>
    <x v="111"/>
    <n v="24975.39"/>
    <n v="9768"/>
    <n v="3813"/>
    <n v="7943.59"/>
    <n v="16617.43"/>
    <n v="2.5568581081081079"/>
    <n v="0.31805669501056844"/>
    <n v="1.7012110974610974"/>
    <n v="0.39035626535626533"/>
    <s v="Needs Optimization"/>
    <s v="NO"/>
    <x v="0"/>
  </r>
  <r>
    <x v="18"/>
    <x v="2"/>
    <x v="112"/>
    <n v="17080.259999999998"/>
    <n v="11809"/>
    <n v="2751"/>
    <n v="3898.3"/>
    <n v="9431.64"/>
    <n v="1.4463764925057159"/>
    <n v="0.22823423062646592"/>
    <n v="0.7986823609111694"/>
    <n v="0.23295791345583877"/>
    <s v="Needs Optimization"/>
    <s v="NO"/>
    <x v="0"/>
  </r>
  <r>
    <x v="2"/>
    <x v="1"/>
    <x v="113"/>
    <n v="8686.56"/>
    <n v="13049"/>
    <n v="2524"/>
    <n v="1494.64"/>
    <n v="3278.71"/>
    <n v="0.66568779216798213"/>
    <n v="0.17206350960564368"/>
    <n v="0.25126139934094566"/>
    <n v="0.19342478350831482"/>
    <s v="Needs Optimization"/>
    <s v="NO"/>
    <x v="0"/>
  </r>
  <r>
    <x v="23"/>
    <x v="2"/>
    <x v="114"/>
    <n v="12810.21"/>
    <n v="5484"/>
    <n v="1634"/>
    <n v="581.91999999999996"/>
    <n v="1168.6199999999999"/>
    <n v="2.335924507658643"/>
    <n v="4.5426265455445307E-2"/>
    <n v="0.21309628008752735"/>
    <n v="0.29795769511305614"/>
    <s v="Needs Optimization"/>
    <s v="NO"/>
    <x v="0"/>
  </r>
  <r>
    <x v="10"/>
    <x v="2"/>
    <x v="115"/>
    <n v="4791.93"/>
    <n v="15472"/>
    <n v="1642"/>
    <n v="1404.24"/>
    <n v="3459.97"/>
    <n v="0.30971626163391935"/>
    <n v="0.29304267800239153"/>
    <n v="0.22362784384694931"/>
    <n v="0.10612719751809721"/>
    <s v="Needs Optimization"/>
    <s v="NO"/>
    <x v="0"/>
  </r>
  <r>
    <x v="9"/>
    <x v="2"/>
    <x v="116"/>
    <n v="23882.71"/>
    <n v="9184"/>
    <n v="2162"/>
    <n v="4182.24"/>
    <n v="9711.66"/>
    <n v="2.6004692944250869"/>
    <n v="0.17511580553463155"/>
    <n v="1.0574542682926829"/>
    <n v="0.23540940766550522"/>
    <s v="Needs Optimization"/>
    <s v="NO"/>
    <x v="0"/>
  </r>
  <r>
    <x v="13"/>
    <x v="1"/>
    <x v="117"/>
    <n v="12640.26"/>
    <n v="10876"/>
    <n v="3814"/>
    <n v="7351.4"/>
    <n v="14329.49"/>
    <n v="1.1622158881941891"/>
    <n v="0.5815861382598142"/>
    <n v="1.3175331004045605"/>
    <n v="0.35068039720485472"/>
    <s v="Needs Optimization"/>
    <s v="YES"/>
    <x v="0"/>
  </r>
  <r>
    <x v="12"/>
    <x v="0"/>
    <x v="118"/>
    <n v="8573.57"/>
    <n v="9916"/>
    <n v="4947"/>
    <n v="7592.66"/>
    <n v="10767.39"/>
    <n v="0.86461980637353764"/>
    <n v="0.88558908366059885"/>
    <n v="1.0858602258975392"/>
    <n v="0.49889068172650264"/>
    <s v="Breakeven"/>
    <s v="YES"/>
    <x v="0"/>
  </r>
  <r>
    <x v="0"/>
    <x v="1"/>
    <x v="119"/>
    <n v="26432.22"/>
    <n v="15038"/>
    <n v="2504"/>
    <n v="677.36"/>
    <n v="1144.23"/>
    <n v="1.7576951722303498"/>
    <n v="2.5626300023229225E-2"/>
    <n v="7.6089240590504051E-2"/>
    <n v="0.1665115041893869"/>
    <s v="Needs Optimization"/>
    <s v="NO"/>
    <x v="0"/>
  </r>
  <r>
    <x v="7"/>
    <x v="2"/>
    <x v="120"/>
    <n v="12036.97"/>
    <n v="14612"/>
    <n v="2312"/>
    <n v="3256.32"/>
    <n v="7330.05"/>
    <n v="0.82377292636189425"/>
    <n v="0.27052655277864779"/>
    <n v="0.50164590747330962"/>
    <n v="0.15822611552148919"/>
    <s v="Needs Optimization"/>
    <s v="NO"/>
    <x v="0"/>
  </r>
  <r>
    <x v="24"/>
    <x v="0"/>
    <x v="121"/>
    <n v="4211.1099999999997"/>
    <n v="13035"/>
    <n v="4534"/>
    <n v="5375.3"/>
    <n v="7911.05"/>
    <n v="0.32306175680859223"/>
    <n v="1.2764568011759372"/>
    <n v="0.6069083237437668"/>
    <n v="0.34783275795934021"/>
    <s v="Profitable"/>
    <s v="YES"/>
    <x v="1"/>
  </r>
  <r>
    <x v="22"/>
    <x v="1"/>
    <x v="122"/>
    <n v="9111.3700000000008"/>
    <n v="8866"/>
    <n v="3251"/>
    <n v="6114.02"/>
    <n v="10058.530000000001"/>
    <n v="1.0276753891270021"/>
    <n v="0.67103190848357597"/>
    <n v="1.1345059778930748"/>
    <n v="0.36668170539138278"/>
    <s v="Needs Optimization"/>
    <s v="YES"/>
    <x v="0"/>
  </r>
  <r>
    <x v="20"/>
    <x v="1"/>
    <x v="123"/>
    <n v="18508.43"/>
    <n v="17691"/>
    <n v="5992"/>
    <n v="18971.43"/>
    <n v="31407.119999999999"/>
    <n v="1.0462059804420327"/>
    <n v="1.0250156280138294"/>
    <n v="1.7753162625063592"/>
    <n v="0.33870329546096883"/>
    <s v="Profitable"/>
    <s v="YES"/>
    <x v="1"/>
  </r>
  <r>
    <x v="22"/>
    <x v="2"/>
    <x v="124"/>
    <n v="7578.08"/>
    <n v="13105"/>
    <n v="5783"/>
    <n v="2341.69"/>
    <n v="4052.88"/>
    <n v="0.57825867989317059"/>
    <n v="0.30900835040010133"/>
    <n v="0.30926211369706219"/>
    <n v="0.44128195345288057"/>
    <s v="Needs Optimization"/>
    <s v="NO"/>
    <x v="0"/>
  </r>
  <r>
    <x v="5"/>
    <x v="1"/>
    <x v="125"/>
    <n v="10266.459999999999"/>
    <n v="13469"/>
    <n v="2825"/>
    <n v="4858.07"/>
    <n v="10656.68"/>
    <n v="0.76222882173880757"/>
    <n v="0.47319816178117874"/>
    <n v="0.79120053456084349"/>
    <n v="0.20974088648006534"/>
    <s v="Needs Optimization"/>
    <s v="YES"/>
    <x v="0"/>
  </r>
  <r>
    <x v="7"/>
    <x v="1"/>
    <x v="126"/>
    <n v="22864.82"/>
    <n v="9878"/>
    <n v="4052"/>
    <n v="4209.8"/>
    <n v="6579.1"/>
    <n v="2.3147216035634743"/>
    <n v="0.18411690973294345"/>
    <n v="0.66603563474387528"/>
    <n v="0.41020449483701155"/>
    <s v="Needs Optimization"/>
    <s v="NO"/>
    <x v="0"/>
  </r>
  <r>
    <x v="2"/>
    <x v="1"/>
    <x v="127"/>
    <n v="9017.5499999999993"/>
    <n v="4981"/>
    <n v="1749"/>
    <n v="4217.5600000000004"/>
    <n v="7046.36"/>
    <n v="1.8103894800240914"/>
    <n v="0.46770575156223149"/>
    <n v="1.4146476611122263"/>
    <n v="0.35113431037944187"/>
    <s v="Needs Optimization"/>
    <s v="NO"/>
    <x v="0"/>
  </r>
  <r>
    <x v="22"/>
    <x v="0"/>
    <x v="128"/>
    <n v="18228.07"/>
    <n v="4806"/>
    <n v="653"/>
    <n v="748.49"/>
    <n v="1130.79"/>
    <n v="3.792773616312942"/>
    <n v="4.106249317673237E-2"/>
    <n v="0.23528714107365792"/>
    <n v="0.13587182688306285"/>
    <s v="Needs Optimization"/>
    <s v="NO"/>
    <x v="0"/>
  </r>
  <r>
    <x v="18"/>
    <x v="1"/>
    <x v="129"/>
    <n v="26540.9"/>
    <n v="12488"/>
    <n v="3900"/>
    <n v="11599"/>
    <n v="18655.419999999998"/>
    <n v="2.1253122998078156"/>
    <n v="0.43702361261298595"/>
    <n v="1.4938677130044842"/>
    <n v="0.31229980781550287"/>
    <s v="Needs Optimization"/>
    <s v="NO"/>
    <x v="0"/>
  </r>
  <r>
    <x v="17"/>
    <x v="2"/>
    <x v="130"/>
    <n v="22903.66"/>
    <n v="11599"/>
    <n v="4891"/>
    <n v="2204.61"/>
    <n v="4861.12"/>
    <n v="1.9746236744546943"/>
    <n v="9.625579492535255E-2"/>
    <n v="0.41909819812052762"/>
    <n v="0.42167428226571257"/>
    <s v="Needs Optimization"/>
    <s v="NO"/>
    <x v="0"/>
  </r>
  <r>
    <x v="21"/>
    <x v="1"/>
    <x v="131"/>
    <n v="22278.07"/>
    <n v="13522"/>
    <n v="6583"/>
    <n v="9578.65"/>
    <n v="21540.639999999999"/>
    <n v="1.6475425232953704"/>
    <n v="0.42995869929486707"/>
    <n v="1.5930069516343737"/>
    <n v="0.48683626682443426"/>
    <s v="Needs Optimization"/>
    <s v="NO"/>
    <x v="0"/>
  </r>
  <r>
    <x v="11"/>
    <x v="2"/>
    <x v="132"/>
    <n v="17024.02"/>
    <n v="15402"/>
    <n v="3810"/>
    <n v="4248.91"/>
    <n v="7466.31"/>
    <n v="1.1053122971042721"/>
    <n v="0.24958323592195025"/>
    <n v="0.48476236852356841"/>
    <n v="0.24737047136735488"/>
    <s v="Needs Optimization"/>
    <s v="NO"/>
    <x v="0"/>
  </r>
  <r>
    <x v="20"/>
    <x v="1"/>
    <x v="133"/>
    <n v="8332.4500000000007"/>
    <n v="14561"/>
    <n v="6378"/>
    <n v="19809.810000000001"/>
    <n v="40338.480000000003"/>
    <n v="0.57224435134949525"/>
    <n v="2.3774292074959944"/>
    <n v="2.7703097314744869"/>
    <n v="0.43801936680173065"/>
    <s v="Profitable"/>
    <s v="YES"/>
    <x v="1"/>
  </r>
  <r>
    <x v="12"/>
    <x v="0"/>
    <x v="134"/>
    <n v="20134.27"/>
    <n v="15713"/>
    <n v="7286"/>
    <n v="5419.49"/>
    <n v="7954.36"/>
    <n v="1.2813765671736779"/>
    <n v="0.26916744436227386"/>
    <n v="0.50622796410615412"/>
    <n v="0.46369248393050339"/>
    <s v="Needs Optimization"/>
    <s v="NO"/>
    <x v="0"/>
  </r>
  <r>
    <x v="7"/>
    <x v="2"/>
    <x v="135"/>
    <n v="29885.97"/>
    <n v="4305"/>
    <n v="597"/>
    <n v="547.91999999999996"/>
    <n v="1010.57"/>
    <n v="6.9421533101045299"/>
    <n v="1.8333686341785123E-2"/>
    <n v="0.23474332171893147"/>
    <n v="0.13867595818815331"/>
    <s v="Needs Optimization"/>
    <s v="NO"/>
    <x v="0"/>
  </r>
  <r>
    <x v="13"/>
    <x v="1"/>
    <x v="136"/>
    <n v="21501.55"/>
    <n v="18201"/>
    <n v="4871"/>
    <n v="4107.8999999999996"/>
    <n v="7385.43"/>
    <n v="1.1813389374210208"/>
    <n v="0.1910513428101695"/>
    <n v="0.40577056205702983"/>
    <n v="0.26762265809570901"/>
    <s v="Needs Optimization"/>
    <s v="NO"/>
    <x v="0"/>
  </r>
  <r>
    <x v="10"/>
    <x v="2"/>
    <x v="137"/>
    <n v="19238.259999999998"/>
    <n v="9666"/>
    <n v="1093"/>
    <n v="985.02"/>
    <n v="2404.11"/>
    <n v="1.9903020897992962"/>
    <n v="5.1201096149028034E-2"/>
    <n v="0.24871818746120422"/>
    <n v="0.11307676391475274"/>
    <s v="Needs Optimization"/>
    <s v="NO"/>
    <x v="0"/>
  </r>
  <r>
    <x v="6"/>
    <x v="0"/>
    <x v="138"/>
    <n v="29465.98"/>
    <n v="12536"/>
    <n v="3983"/>
    <n v="6746.31"/>
    <n v="11993.37"/>
    <n v="2.3505089342693042"/>
    <n v="0.22895250726430957"/>
    <n v="0.9567142629227825"/>
    <n v="0.31772495213784302"/>
    <s v="Needs Optimization"/>
    <s v="NO"/>
    <x v="0"/>
  </r>
  <r>
    <x v="2"/>
    <x v="0"/>
    <x v="139"/>
    <n v="28572.3"/>
    <n v="15400"/>
    <n v="2104"/>
    <n v="1742.94"/>
    <n v="4296.8900000000003"/>
    <n v="1.8553441558441559"/>
    <n v="6.1001039468296221E-2"/>
    <n v="0.27901883116883119"/>
    <n v="0.13662337662337662"/>
    <s v="Needs Optimization"/>
    <s v="NO"/>
    <x v="0"/>
  </r>
  <r>
    <x v="7"/>
    <x v="2"/>
    <x v="140"/>
    <n v="8819.93"/>
    <n v="4626"/>
    <n v="1918"/>
    <n v="1906.93"/>
    <n v="3747.21"/>
    <n v="1.906599654128837"/>
    <n v="0.21620693134752769"/>
    <n v="0.81003242542153053"/>
    <n v="0.41461305663640297"/>
    <s v="Needs Optimization"/>
    <s v="NO"/>
    <x v="0"/>
  </r>
  <r>
    <x v="15"/>
    <x v="0"/>
    <x v="141"/>
    <n v="24765.48"/>
    <n v="8134"/>
    <n v="1882"/>
    <n v="1672.51"/>
    <n v="2179.9499999999998"/>
    <n v="3.0446865011064665"/>
    <n v="6.7533922217538289E-2"/>
    <n v="0.26800467174821735"/>
    <n v="0.23137447750184412"/>
    <s v="Needs Optimization"/>
    <s v="NO"/>
    <x v="0"/>
  </r>
  <r>
    <x v="18"/>
    <x v="0"/>
    <x v="142"/>
    <n v="17126.03"/>
    <n v="6217"/>
    <n v="895"/>
    <n v="798.61"/>
    <n v="1381.51"/>
    <n v="2.7547096670419813"/>
    <n v="4.6631355895090695E-2"/>
    <n v="0.22221489464371882"/>
    <n v="0.14396010937751327"/>
    <s v="Needs Optimization"/>
    <s v="NO"/>
    <x v="0"/>
  </r>
  <r>
    <x v="21"/>
    <x v="1"/>
    <x v="143"/>
    <n v="11065.6"/>
    <n v="6209"/>
    <n v="1279"/>
    <n v="590.65"/>
    <n v="848.4"/>
    <n v="1.7821871476888389"/>
    <n v="5.3377132735685361E-2"/>
    <n v="0.13664036076662908"/>
    <n v="0.2059913029473345"/>
    <s v="Needs Optimization"/>
    <s v="NO"/>
    <x v="0"/>
  </r>
  <r>
    <x v="9"/>
    <x v="2"/>
    <x v="144"/>
    <n v="14551.71"/>
    <n v="12363"/>
    <n v="3774"/>
    <n v="1866.32"/>
    <n v="4543.55"/>
    <n v="1.1770371269109439"/>
    <n v="0.12825434261677837"/>
    <n v="0.36751193076114214"/>
    <n v="0.30526571220577531"/>
    <s v="Needs Optimization"/>
    <s v="NO"/>
    <x v="0"/>
  </r>
  <r>
    <x v="7"/>
    <x v="1"/>
    <x v="145"/>
    <n v="23930.36"/>
    <n v="17586"/>
    <n v="3880"/>
    <n v="1870.97"/>
    <n v="4674.25"/>
    <n v="1.3607619697486637"/>
    <n v="7.8183947086462549E-2"/>
    <n v="0.26579381326054818"/>
    <n v="0.22063004662799954"/>
    <s v="Needs Optimization"/>
    <s v="NO"/>
    <x v="0"/>
  </r>
  <r>
    <x v="4"/>
    <x v="2"/>
    <x v="146"/>
    <n v="21210.73"/>
    <n v="16565"/>
    <n v="6376"/>
    <n v="11327.88"/>
    <n v="19104.86"/>
    <n v="1.2804545728946575"/>
    <n v="0.5340636555177497"/>
    <n v="1.1533268940537278"/>
    <n v="0.38490793842438875"/>
    <s v="Needs Optimization"/>
    <s v="NO"/>
    <x v="0"/>
  </r>
  <r>
    <x v="9"/>
    <x v="0"/>
    <x v="147"/>
    <n v="6656.71"/>
    <n v="16413"/>
    <n v="4801"/>
    <n v="14574.08"/>
    <n v="21825.63"/>
    <n v="0.40557545847803572"/>
    <n v="2.1893818417806994"/>
    <n v="1.3297770060318042"/>
    <n v="0.29251203314445867"/>
    <s v="Profitable"/>
    <s v="YES"/>
    <x v="1"/>
  </r>
  <r>
    <x v="22"/>
    <x v="1"/>
    <x v="148"/>
    <n v="18951.95"/>
    <n v="3749"/>
    <n v="1564"/>
    <n v="958.44"/>
    <n v="2255.4499999999998"/>
    <n v="5.0552013870365435"/>
    <n v="5.0572104717456517E-2"/>
    <n v="0.60161376367031205"/>
    <n v="0.41717791411042943"/>
    <s v="Needs Optimization"/>
    <s v="NO"/>
    <x v="0"/>
  </r>
  <r>
    <x v="1"/>
    <x v="1"/>
    <x v="149"/>
    <n v="26233.78"/>
    <n v="14592"/>
    <n v="4094"/>
    <n v="2256.87"/>
    <n v="4162.12"/>
    <n v="1.7978193530701754"/>
    <n v="8.6029157826283523E-2"/>
    <n v="0.28523300438596488"/>
    <n v="0.28056469298245612"/>
    <s v="Needs Optimization"/>
    <s v="NO"/>
    <x v="0"/>
  </r>
  <r>
    <x v="16"/>
    <x v="1"/>
    <x v="150"/>
    <n v="4662.3999999999996"/>
    <n v="14484"/>
    <n v="3259"/>
    <n v="4156.3999999999996"/>
    <n v="8828.9599999999991"/>
    <n v="0.32190002761668046"/>
    <n v="0.89147220315717224"/>
    <n v="0.60956641811654233"/>
    <n v="0.22500690417011876"/>
    <s v="Breakeven"/>
    <s v="YES"/>
    <x v="0"/>
  </r>
  <r>
    <x v="17"/>
    <x v="0"/>
    <x v="151"/>
    <n v="4554.29"/>
    <n v="3297"/>
    <n v="452"/>
    <n v="273.20999999999998"/>
    <n v="621.30999999999995"/>
    <n v="1.3813436457385502"/>
    <n v="5.9989592230622113E-2"/>
    <n v="0.1884470730967546"/>
    <n v="0.13709432817713071"/>
    <s v="Needs Optimization"/>
    <s v="NO"/>
    <x v="0"/>
  </r>
  <r>
    <x v="1"/>
    <x v="0"/>
    <x v="152"/>
    <n v="18421.02"/>
    <n v="18902"/>
    <n v="6136"/>
    <n v="8295.93"/>
    <n v="19481.57"/>
    <n v="0.97455401544810072"/>
    <n v="0.45035128347941644"/>
    <n v="1.030661834726484"/>
    <n v="0.3246217331499312"/>
    <s v="Needs Optimization"/>
    <s v="YES"/>
    <x v="0"/>
  </r>
  <r>
    <x v="3"/>
    <x v="2"/>
    <x v="153"/>
    <n v="26306.58"/>
    <n v="2185"/>
    <n v="1064"/>
    <n v="1184"/>
    <n v="2360.31"/>
    <n v="12.03962471395881"/>
    <n v="4.5007750912509338E-2"/>
    <n v="1.080233409610984"/>
    <n v="0.48695652173913045"/>
    <s v="Needs Optimization"/>
    <s v="NO"/>
    <x v="0"/>
  </r>
  <r>
    <x v="2"/>
    <x v="0"/>
    <x v="154"/>
    <n v="20388.62"/>
    <n v="7848"/>
    <n v="3444"/>
    <n v="3528.35"/>
    <n v="5073.28"/>
    <n v="2.5979383282364932"/>
    <n v="0.17305487080538065"/>
    <n v="0.64644240570846068"/>
    <n v="0.43883792048929665"/>
    <s v="Needs Optimization"/>
    <s v="NO"/>
    <x v="0"/>
  </r>
  <r>
    <x v="5"/>
    <x v="0"/>
    <x v="155"/>
    <n v="3621.9"/>
    <n v="19091"/>
    <n v="9140"/>
    <n v="4034.45"/>
    <n v="5579.87"/>
    <n v="0.18971766801110471"/>
    <n v="1.113904304370634"/>
    <n v="0.292277512964224"/>
    <n v="0.47875962495416691"/>
    <s v="Profitable"/>
    <s v="YES"/>
    <x v="1"/>
  </r>
  <r>
    <x v="0"/>
    <x v="1"/>
    <x v="156"/>
    <n v="2735.11"/>
    <n v="9263"/>
    <n v="1033"/>
    <n v="1140.5999999999999"/>
    <n v="2744.11"/>
    <n v="0.29527258987369104"/>
    <n v="0.41702161887456074"/>
    <n v="0.29624419734427293"/>
    <n v="0.11151894634567634"/>
    <s v="Needs Optimization"/>
    <s v="YES"/>
    <x v="0"/>
  </r>
  <r>
    <x v="6"/>
    <x v="0"/>
    <x v="157"/>
    <n v="7079.36"/>
    <n v="5194"/>
    <n v="1695"/>
    <n v="851.48"/>
    <n v="1753.88"/>
    <n v="1.3629880631497882"/>
    <n v="0.12027640916693035"/>
    <n v="0.33767423950712361"/>
    <n v="0.32633808240277246"/>
    <s v="Needs Optimization"/>
    <s v="NO"/>
    <x v="0"/>
  </r>
  <r>
    <x v="11"/>
    <x v="0"/>
    <x v="158"/>
    <n v="22891.13"/>
    <n v="7549"/>
    <n v="1890"/>
    <n v="1088.53"/>
    <n v="1822.16"/>
    <n v="3.0323393826996954"/>
    <n v="4.7552479934367585E-2"/>
    <n v="0.24137766591601537"/>
    <n v="0.25036428666048482"/>
    <s v="Needs Optimization"/>
    <s v="NO"/>
    <x v="0"/>
  </r>
  <r>
    <x v="14"/>
    <x v="1"/>
    <x v="159"/>
    <n v="18694.27"/>
    <n v="2223"/>
    <n v="360"/>
    <n v="211.89"/>
    <n v="296.2"/>
    <n v="8.4094781826360769"/>
    <n v="1.1334489124207576E-2"/>
    <n v="0.13324336482231219"/>
    <n v="0.16194331983805668"/>
    <s v="Needs Optimization"/>
    <s v="NO"/>
    <x v="0"/>
  </r>
  <r>
    <x v="22"/>
    <x v="1"/>
    <x v="160"/>
    <n v="13872.41"/>
    <n v="14984"/>
    <n v="3980"/>
    <n v="2819.02"/>
    <n v="4832.3900000000003"/>
    <n v="0.92581486919380673"/>
    <n v="0.20321054524772553"/>
    <n v="0.32250333689268557"/>
    <n v="0.26561665776828619"/>
    <s v="Needs Optimization"/>
    <s v="NO"/>
    <x v="0"/>
  </r>
  <r>
    <x v="10"/>
    <x v="2"/>
    <x v="161"/>
    <n v="20990.1"/>
    <n v="19935"/>
    <n v="5873"/>
    <n v="3101.06"/>
    <n v="5502.26"/>
    <n v="1.0529270127915726"/>
    <n v="0.14773917227645414"/>
    <n v="0.2760100326059694"/>
    <n v="0.29460747429144718"/>
    <s v="Needs Optimization"/>
    <s v="NO"/>
    <x v="0"/>
  </r>
  <r>
    <x v="22"/>
    <x v="2"/>
    <x v="162"/>
    <n v="7081.7"/>
    <n v="19680"/>
    <n v="5399"/>
    <n v="16533.759999999998"/>
    <n v="30819.13"/>
    <n v="0.35984247967479671"/>
    <n v="2.3347162404507391"/>
    <n v="1.5660127032520326"/>
    <n v="0.27433943089430896"/>
    <s v="Profitable"/>
    <s v="YES"/>
    <x v="1"/>
  </r>
  <r>
    <x v="10"/>
    <x v="0"/>
    <x v="163"/>
    <n v="15926.79"/>
    <n v="14611"/>
    <n v="2487"/>
    <n v="3229.66"/>
    <n v="6137.37"/>
    <n v="1.0900547532680858"/>
    <n v="0.20278160257026054"/>
    <n v="0.42005133118883031"/>
    <n v="0.17021422216138526"/>
    <s v="Needs Optimization"/>
    <s v="NO"/>
    <x v="0"/>
  </r>
  <r>
    <x v="13"/>
    <x v="2"/>
    <x v="164"/>
    <n v="4018.11"/>
    <n v="1886"/>
    <n v="517"/>
    <n v="231.04"/>
    <n v="387.15"/>
    <n v="2.130493107104984"/>
    <n v="5.7499670242974928E-2"/>
    <n v="0.20527571580063625"/>
    <n v="0.27412513255567339"/>
    <s v="Needs Optimization"/>
    <s v="NO"/>
    <x v="0"/>
  </r>
  <r>
    <x v="16"/>
    <x v="1"/>
    <x v="165"/>
    <n v="13323.84"/>
    <n v="14186"/>
    <n v="3061"/>
    <n v="5392.42"/>
    <n v="8122.32"/>
    <n v="0.93922458762159877"/>
    <n v="0.40471966039820351"/>
    <n v="0.57255886084872409"/>
    <n v="0.21577611729874524"/>
    <s v="Needs Optimization"/>
    <s v="NO"/>
    <x v="0"/>
  </r>
  <r>
    <x v="12"/>
    <x v="2"/>
    <x v="166"/>
    <n v="25296.73"/>
    <n v="12357"/>
    <n v="1671"/>
    <n v="1967.68"/>
    <n v="3948.44"/>
    <n v="2.0471578862183377"/>
    <n v="7.7783966544292482E-2"/>
    <n v="0.31953063041191226"/>
    <n v="0.13522699684389414"/>
    <s v="Needs Optimization"/>
    <s v="NO"/>
    <x v="0"/>
  </r>
  <r>
    <x v="19"/>
    <x v="0"/>
    <x v="167"/>
    <n v="13081.47"/>
    <n v="10667"/>
    <n v="4248"/>
    <n v="4214.83"/>
    <n v="5865.59"/>
    <n v="1.2263494890784663"/>
    <n v="0.32219849909834292"/>
    <n v="0.5498818786912909"/>
    <n v="0.39823755507640385"/>
    <s v="Needs Optimization"/>
    <s v="NO"/>
    <x v="0"/>
  </r>
  <r>
    <x v="0"/>
    <x v="0"/>
    <x v="168"/>
    <n v="16856.93"/>
    <n v="6853"/>
    <n v="3168"/>
    <n v="3989.92"/>
    <n v="9107.94"/>
    <n v="2.4597884138333579"/>
    <n v="0.23669315824411682"/>
    <n v="1.3290442142127536"/>
    <n v="0.4622792937399679"/>
    <s v="Needs Optimization"/>
    <s v="NO"/>
    <x v="0"/>
  </r>
  <r>
    <x v="18"/>
    <x v="0"/>
    <x v="169"/>
    <n v="4878.53"/>
    <n v="8887"/>
    <n v="1589"/>
    <n v="3114.47"/>
    <n v="6498.69"/>
    <n v="0.54895127714639358"/>
    <n v="0.63840337150740079"/>
    <n v="0.73125801732868234"/>
    <n v="0.17880049510520984"/>
    <s v="Needs Optimization"/>
    <s v="YES"/>
    <x v="0"/>
  </r>
  <r>
    <x v="24"/>
    <x v="1"/>
    <x v="170"/>
    <n v="15835.28"/>
    <n v="18972"/>
    <n v="7663"/>
    <n v="14044.34"/>
    <n v="27771.14"/>
    <n v="0.83466582331857475"/>
    <n v="0.88690190511313971"/>
    <n v="1.4637961205987771"/>
    <n v="0.40391102677630192"/>
    <s v="Breakeven"/>
    <s v="YES"/>
    <x v="0"/>
  </r>
  <r>
    <x v="0"/>
    <x v="1"/>
    <x v="171"/>
    <n v="11049.83"/>
    <n v="10859"/>
    <n v="1741"/>
    <n v="664.32"/>
    <n v="1105.02"/>
    <n v="1.0175734413850261"/>
    <n v="6.0120381942527626E-2"/>
    <n v="0.1017607514504098"/>
    <n v="0.16032783865917671"/>
    <s v="Needs Optimization"/>
    <s v="NO"/>
    <x v="0"/>
  </r>
  <r>
    <x v="20"/>
    <x v="1"/>
    <x v="172"/>
    <n v="3572.82"/>
    <n v="17124"/>
    <n v="2220"/>
    <n v="847.79"/>
    <n v="1477.26"/>
    <n v="0.20864400840925018"/>
    <n v="0.23728875230210308"/>
    <n v="8.6268395234758238E-2"/>
    <n v="0.1296426068675543"/>
    <s v="Needs Optimization"/>
    <s v="NO"/>
    <x v="0"/>
  </r>
  <r>
    <x v="5"/>
    <x v="0"/>
    <x v="173"/>
    <n v="20050.66"/>
    <n v="3458"/>
    <n v="1196"/>
    <n v="1399.13"/>
    <n v="2749.54"/>
    <n v="5.7983400809716601"/>
    <n v="6.9779747898572927E-2"/>
    <n v="0.79512434933487564"/>
    <n v="0.34586466165413532"/>
    <s v="Needs Optimization"/>
    <s v="NO"/>
    <x v="0"/>
  </r>
  <r>
    <x v="8"/>
    <x v="0"/>
    <x v="174"/>
    <n v="14592.54"/>
    <n v="19232"/>
    <n v="6937"/>
    <n v="5986.95"/>
    <n v="8866.8700000000008"/>
    <n v="0.75876351913477547"/>
    <n v="0.41027470200527116"/>
    <n v="0.46104773294509155"/>
    <n v="0.36070091514143093"/>
    <s v="Needs Optimization"/>
    <s v="NO"/>
    <x v="0"/>
  </r>
  <r>
    <x v="7"/>
    <x v="2"/>
    <x v="175"/>
    <n v="4898.05"/>
    <n v="11753"/>
    <n v="5793"/>
    <n v="3144.79"/>
    <n v="4235.9399999999996"/>
    <n v="0.41674891517059476"/>
    <n v="0.64204938700094938"/>
    <n v="0.36041351144388661"/>
    <n v="0.49289543095379901"/>
    <s v="Needs Optimization"/>
    <s v="NO"/>
    <x v="0"/>
  </r>
  <r>
    <x v="23"/>
    <x v="2"/>
    <x v="176"/>
    <n v="29747.61"/>
    <n v="17672"/>
    <n v="5462"/>
    <n v="2614.41"/>
    <n v="4286.25"/>
    <n v="1.6833188094160254"/>
    <n v="8.7886388183790215E-2"/>
    <n v="0.24254470348574014"/>
    <n v="0.30907650520597557"/>
    <s v="Needs Optimization"/>
    <s v="NO"/>
    <x v="0"/>
  </r>
  <r>
    <x v="16"/>
    <x v="2"/>
    <x v="177"/>
    <n v="21009.14"/>
    <n v="2215"/>
    <n v="920"/>
    <n v="511.49"/>
    <n v="722.94"/>
    <n v="9.4849390519187349"/>
    <n v="2.4346070329389971E-2"/>
    <n v="0.32638374717832958"/>
    <n v="0.41534988713318283"/>
    <s v="Needs Optimization"/>
    <s v="NO"/>
    <x v="0"/>
  </r>
  <r>
    <x v="13"/>
    <x v="2"/>
    <x v="178"/>
    <n v="9956.1200000000008"/>
    <n v="5427"/>
    <n v="1266"/>
    <n v="843.37"/>
    <n v="1450.42"/>
    <n v="1.8345531601252996"/>
    <n v="8.4708701783425669E-2"/>
    <n v="0.26725999631472269"/>
    <n v="0.23327805417357655"/>
    <s v="Needs Optimization"/>
    <s v="NO"/>
    <x v="0"/>
  </r>
  <r>
    <x v="0"/>
    <x v="1"/>
    <x v="179"/>
    <n v="20539.78"/>
    <n v="4725"/>
    <n v="1597"/>
    <n v="2373.2800000000002"/>
    <n v="4158.0200000000004"/>
    <n v="4.3470433862433859"/>
    <n v="0.11554554138359809"/>
    <n v="0.8800042328042329"/>
    <n v="0.33798941798941801"/>
    <s v="Needs Optimization"/>
    <s v="NO"/>
    <x v="0"/>
  </r>
  <r>
    <x v="14"/>
    <x v="0"/>
    <x v="180"/>
    <n v="20763.259999999998"/>
    <n v="17748"/>
    <n v="2438"/>
    <n v="3831.03"/>
    <n v="5064.1499999999996"/>
    <n v="1.1698929456840206"/>
    <n v="0.18451004322057329"/>
    <n v="0.2853363759296822"/>
    <n v="0.13736759071444671"/>
    <s v="Needs Optimization"/>
    <s v="NO"/>
    <x v="0"/>
  </r>
  <r>
    <x v="5"/>
    <x v="0"/>
    <x v="181"/>
    <n v="28632.74"/>
    <n v="11697"/>
    <n v="5603"/>
    <n v="4080.95"/>
    <n v="5978.91"/>
    <n v="2.4478703941181501"/>
    <n v="0.14252740045137138"/>
    <n v="0.51114901256732492"/>
    <n v="0.47901171240489016"/>
    <s v="Needs Optimization"/>
    <s v="NO"/>
    <x v="0"/>
  </r>
  <r>
    <x v="9"/>
    <x v="2"/>
    <x v="182"/>
    <n v="25643.99"/>
    <n v="3814"/>
    <n v="1155"/>
    <n v="2029.2"/>
    <n v="3920.09"/>
    <n v="6.7236470896696385"/>
    <n v="7.9129651820952981E-2"/>
    <n v="1.0278159412690089"/>
    <n v="0.30283167278447826"/>
    <s v="Needs Optimization"/>
    <s v="NO"/>
    <x v="0"/>
  </r>
  <r>
    <x v="13"/>
    <x v="2"/>
    <x v="183"/>
    <n v="26539"/>
    <n v="4794"/>
    <n v="1624"/>
    <n v="506.85"/>
    <n v="1080.31"/>
    <n v="5.5358781810596582"/>
    <n v="1.9098308150269416E-2"/>
    <n v="0.22534626616604087"/>
    <n v="0.33875677930746767"/>
    <s v="Needs Optimization"/>
    <s v="NO"/>
    <x v="0"/>
  </r>
  <r>
    <x v="12"/>
    <x v="0"/>
    <x v="184"/>
    <n v="22193.119999999999"/>
    <n v="1931"/>
    <n v="510"/>
    <n v="494.35"/>
    <n v="906.16"/>
    <n v="11.493070947695495"/>
    <n v="2.2274921236851784E-2"/>
    <n v="0.46926980838943549"/>
    <n v="0.2641118591403418"/>
    <s v="Needs Optimization"/>
    <s v="NO"/>
    <x v="0"/>
  </r>
  <r>
    <x v="5"/>
    <x v="1"/>
    <x v="185"/>
    <n v="23946.41"/>
    <n v="8167"/>
    <n v="2561"/>
    <n v="3231.09"/>
    <n v="6018.93"/>
    <n v="2.9320937920901189"/>
    <n v="0.13493003752963389"/>
    <n v="0.73698175584670012"/>
    <n v="0.31357903759030242"/>
    <s v="Needs Optimization"/>
    <s v="NO"/>
    <x v="0"/>
  </r>
  <r>
    <x v="2"/>
    <x v="2"/>
    <x v="186"/>
    <n v="20992.59"/>
    <n v="19191"/>
    <n v="9476"/>
    <n v="7517.24"/>
    <n v="13217.16"/>
    <n v="1.0938768172580897"/>
    <n v="0.35809016419603296"/>
    <n v="0.68871658589964047"/>
    <n v="0.49377312281798758"/>
    <s v="Needs Optimization"/>
    <s v="NO"/>
    <x v="0"/>
  </r>
  <r>
    <x v="19"/>
    <x v="2"/>
    <x v="187"/>
    <n v="29055.51"/>
    <n v="7043"/>
    <n v="2961"/>
    <n v="1036.01"/>
    <n v="2143.9299999999998"/>
    <n v="4.1254451228169815"/>
    <n v="3.5656231812829994E-2"/>
    <n v="0.30440579298594345"/>
    <n v="0.42041743575181029"/>
    <s v="Needs Optimization"/>
    <s v="NO"/>
    <x v="0"/>
  </r>
  <r>
    <x v="6"/>
    <x v="1"/>
    <x v="188"/>
    <n v="28160.22"/>
    <n v="17405"/>
    <n v="7666"/>
    <n v="8751.1200000000008"/>
    <n v="14241.13"/>
    <n v="1.6179385234128125"/>
    <n v="0.31076177671907396"/>
    <n v="0.81822062625682268"/>
    <n v="0.44044814708417124"/>
    <s v="Needs Optimization"/>
    <s v="NO"/>
    <x v="0"/>
  </r>
  <r>
    <x v="19"/>
    <x v="0"/>
    <x v="189"/>
    <n v="25269.31"/>
    <n v="3505"/>
    <n v="1677"/>
    <n v="1091.3699999999999"/>
    <n v="1876.61"/>
    <n v="7.209503566333809"/>
    <n v="4.318954494602345E-2"/>
    <n v="0.53540941512125528"/>
    <n v="0.47845934379457916"/>
    <s v="Needs Optimization"/>
    <s v="NO"/>
    <x v="0"/>
  </r>
  <r>
    <x v="11"/>
    <x v="2"/>
    <x v="190"/>
    <n v="3491.19"/>
    <n v="16949"/>
    <n v="4230"/>
    <n v="1691.26"/>
    <n v="2654.34"/>
    <n v="0.20598206383857456"/>
    <n v="0.48443653883059928"/>
    <n v="0.1566074694672252"/>
    <n v="0.24957224615021537"/>
    <s v="Needs Optimization"/>
    <s v="NO"/>
    <x v="0"/>
  </r>
  <r>
    <x v="14"/>
    <x v="0"/>
    <x v="191"/>
    <n v="25496.94"/>
    <n v="11486"/>
    <n v="4784"/>
    <n v="1814.43"/>
    <n v="4165.41"/>
    <n v="2.2198276162284518"/>
    <n v="7.1162657165918741E-2"/>
    <n v="0.36265105345638166"/>
    <n v="0.41650705206338151"/>
    <s v="Needs Optimization"/>
    <s v="NO"/>
    <x v="0"/>
  </r>
  <r>
    <x v="23"/>
    <x v="0"/>
    <x v="192"/>
    <n v="23247.55"/>
    <n v="15871"/>
    <n v="4435"/>
    <n v="515.4"/>
    <n v="828.3"/>
    <n v="1.4647816772730136"/>
    <n v="2.2170078137266076E-2"/>
    <n v="5.2189528070064897E-2"/>
    <n v="0.27944048894209567"/>
    <s v="Needs Optimization"/>
    <s v="NO"/>
    <x v="0"/>
  </r>
  <r>
    <x v="18"/>
    <x v="1"/>
    <x v="193"/>
    <n v="28326.33"/>
    <n v="17794"/>
    <n v="4791"/>
    <n v="5205.47"/>
    <n v="7528.24"/>
    <n v="1.5919034506013263"/>
    <n v="0.18376789368760443"/>
    <n v="0.42307744183432616"/>
    <n v="0.26924806114420591"/>
    <s v="Needs Optimization"/>
    <s v="NO"/>
    <x v="0"/>
  </r>
  <r>
    <x v="21"/>
    <x v="2"/>
    <x v="194"/>
    <n v="19890.650000000001"/>
    <n v="15478"/>
    <n v="1936"/>
    <n v="3609.61"/>
    <n v="7014.43"/>
    <n v="1.2850917431192661"/>
    <n v="0.18147270199817503"/>
    <n v="0.4531871042770384"/>
    <n v="0.1250807597880863"/>
    <s v="Needs Optimization"/>
    <s v="NO"/>
    <x v="0"/>
  </r>
  <r>
    <x v="0"/>
    <x v="1"/>
    <x v="195"/>
    <n v="18101.330000000002"/>
    <n v="5204"/>
    <n v="1126"/>
    <n v="251"/>
    <n v="498.18"/>
    <n v="3.4783493466564184"/>
    <n v="1.3866384403797952E-2"/>
    <n v="9.5730207532667186E-2"/>
    <n v="0.21637202152190624"/>
    <s v="Needs Optimization"/>
    <s v="NO"/>
    <x v="0"/>
  </r>
  <r>
    <x v="24"/>
    <x v="1"/>
    <x v="196"/>
    <n v="20710.02"/>
    <n v="17653"/>
    <n v="8647"/>
    <n v="3746.76"/>
    <n v="7151.79"/>
    <n v="1.1731728318132895"/>
    <n v="0.18091532504555766"/>
    <n v="0.40513170565909479"/>
    <n v="0.48983175664193057"/>
    <s v="Needs Optimization"/>
    <s v="NO"/>
    <x v="0"/>
  </r>
  <r>
    <x v="19"/>
    <x v="1"/>
    <x v="197"/>
    <n v="2569.36"/>
    <n v="15905"/>
    <n v="1867"/>
    <n v="1550.95"/>
    <n v="3407.1"/>
    <n v="0.16154416850047157"/>
    <n v="0.6036328112837438"/>
    <n v="0.21421565545425966"/>
    <n v="0.11738447029236089"/>
    <s v="Needs Optimization"/>
    <s v="YES"/>
    <x v="0"/>
  </r>
  <r>
    <x v="6"/>
    <x v="0"/>
    <x v="198"/>
    <n v="11654.47"/>
    <n v="3896"/>
    <n v="1591"/>
    <n v="2009.87"/>
    <n v="2719.76"/>
    <n v="2.9913937371663244"/>
    <n v="0.17245486066719465"/>
    <n v="0.69809034907597545"/>
    <n v="0.40836755646817247"/>
    <s v="Needs Optimization"/>
    <s v="NO"/>
    <x v="0"/>
  </r>
  <r>
    <x v="1"/>
    <x v="2"/>
    <x v="199"/>
    <n v="24778.25"/>
    <n v="6237"/>
    <n v="2695"/>
    <n v="7206.98"/>
    <n v="13507.59"/>
    <n v="3.9727833894500559"/>
    <n v="0.2908591203979296"/>
    <n v="2.1657190957190959"/>
    <n v="0.43209876543209874"/>
    <s v="Needs Optimization"/>
    <s v="NO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 rowHeaderCaption="App Name">
  <location ref="B16:H30" firstHeaderRow="1" firstDataRow="2" firstDataCol="1" rowPageCount="1" colPageCount="1"/>
  <pivotFields count="15">
    <pivotField axis="axisRow" showAll="0">
      <items count="26">
        <item sd="0" x="1"/>
        <item x="4"/>
        <item x="6"/>
        <item x="7"/>
        <item sd="0" x="17"/>
        <item x="13"/>
        <item sd="0" x="18"/>
        <item sd="0" x="0"/>
        <item sd="0" x="8"/>
        <item sd="0" x="14"/>
        <item sd="0" x="2"/>
        <item x="16"/>
        <item x="23"/>
        <item sd="0" x="12"/>
        <item sd="0" x="24"/>
        <item x="11"/>
        <item x="3"/>
        <item sd="0" x="20"/>
        <item sd="0" x="9"/>
        <item sd="0" x="5"/>
        <item x="15"/>
        <item x="10"/>
        <item x="21"/>
        <item sd="0" x="22"/>
        <item x="19"/>
        <item t="default"/>
      </items>
    </pivotField>
    <pivotField showAll="0"/>
    <pivotField showAll="0"/>
    <pivotField dataField="1" numFmtId="164" showAll="0"/>
    <pivotField dataField="1" showAll="0"/>
    <pivotField showAll="0"/>
    <pivotField numFmtId="164" showAll="0"/>
    <pivotField numFmtId="164" showAll="0"/>
    <pivotField dataField="1" numFmtId="164" showAll="0"/>
    <pivotField dataField="1" numFmtId="165" showAll="0"/>
    <pivotField dataField="1" numFmtId="164" showAll="0"/>
    <pivotField dataField="1" numFmtId="10" showAll="0"/>
    <pivotField showAll="0"/>
    <pivotField showAll="0"/>
    <pivotField name="Eligible for UA Campaing" axis="axisPage" showAll="0">
      <items count="3">
        <item x="0"/>
        <item x="1"/>
        <item t="default"/>
      </items>
    </pivotField>
  </pivotFields>
  <rowFields count="1">
    <field x="0"/>
  </rowFields>
  <rowItems count="13">
    <i>
      <x/>
    </i>
    <i>
      <x v="4"/>
    </i>
    <i>
      <x v="6"/>
    </i>
    <i>
      <x v="7"/>
    </i>
    <i>
      <x v="8"/>
    </i>
    <i>
      <x v="9"/>
    </i>
    <i>
      <x v="10"/>
    </i>
    <i>
      <x v="13"/>
    </i>
    <i>
      <x v="14"/>
    </i>
    <i>
      <x v="17"/>
    </i>
    <i>
      <x v="18"/>
    </i>
    <i>
      <x v="19"/>
    </i>
    <i>
      <x v="23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4" item="1" hier="-1"/>
  </pageFields>
  <dataFields count="6">
    <dataField name="UA Spend (Sum)" fld="3" baseField="0" baseItem="0" numFmtId="164"/>
    <dataField name="Installs (Sum)" fld="4" baseField="0" baseItem="0" numFmtId="4"/>
    <dataField name="CAC (Average)" fld="8" subtotal="average" baseField="0" baseItem="9" numFmtId="164"/>
    <dataField name="ROAS 30d (Average)" fld="9" subtotal="average" baseField="0" baseItem="9" numFmtId="165"/>
    <dataField name="LTV 90d (Average)" fld="10" subtotal="average" baseField="0" baseItem="9" numFmtId="164"/>
    <dataField name="Retention 30d (Average)" fld="11" subtotal="average" baseField="0" baseItem="9" numFmtId="10"/>
  </dataFields>
  <formats count="9">
    <format dxfId="15">
      <pivotArea field="0" type="button" dataOnly="0" labelOnly="1" outline="0" axis="axisRow" fieldPosition="0"/>
    </format>
    <format dxfId="14">
      <pivotArea field="0" type="button" dataOnly="0" labelOnly="1" outline="0" axis="axisRow" fieldPosition="0"/>
    </format>
    <format dxfId="13">
      <pivotArea field="14" type="button" dataOnly="0" labelOnly="1" outline="0" axis="axisPage" fieldPosition="0"/>
    </format>
    <format dxfId="12">
      <pivotArea dataOnly="0" labelOnly="1" outline="0" fieldPosition="0">
        <references count="1">
          <reference field="14" count="1">
            <x v="1"/>
          </reference>
        </references>
      </pivotArea>
    </format>
    <format dxfId="11">
      <pivotArea dataOnly="0" labelOnly="1" outline="0" fieldPosition="0">
        <references count="1">
          <reference field="14" count="1">
            <x v="1"/>
          </reference>
        </references>
      </pivotArea>
    </format>
    <format dxfId="10">
      <pivotArea outline="0" collapsedLevelsAreSubtotals="1" fieldPosition="0"/>
    </format>
    <format dxfId="9">
      <pivotArea outline="0" collapsedLevelsAreSubtotals="1" fieldPosition="0"/>
    </format>
    <format dxfId="8">
      <pivotArea field="-2" type="button" dataOnly="0" labelOnly="1" outline="0" axis="axisCol" fieldPosition="0"/>
    </format>
    <format dxfId="7">
      <pivotArea dataOnly="0" labelOnly="1" fieldPosition="0">
        <references count="1">
          <reference field="0" count="13">
            <x v="0"/>
            <x v="4"/>
            <x v="6"/>
            <x v="7"/>
            <x v="8"/>
            <x v="9"/>
            <x v="10"/>
            <x v="13"/>
            <x v="14"/>
            <x v="17"/>
            <x v="18"/>
            <x v="19"/>
            <x v="23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4085D9-DB7E-443B-A8A9-0CED303B16CF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App Name">
  <location ref="B53:E67" firstHeaderRow="0" firstDataRow="1" firstDataCol="1" rowPageCount="1" colPageCount="1"/>
  <pivotFields count="15">
    <pivotField axis="axisRow" showAll="0" measureFilter="1">
      <items count="26">
        <item x="1"/>
        <item x="4"/>
        <item x="6"/>
        <item x="7"/>
        <item x="17"/>
        <item x="13"/>
        <item x="18"/>
        <item x="0"/>
        <item x="8"/>
        <item x="14"/>
        <item x="2"/>
        <item x="16"/>
        <item x="23"/>
        <item x="12"/>
        <item x="24"/>
        <item x="11"/>
        <item x="3"/>
        <item x="20"/>
        <item x="9"/>
        <item x="5"/>
        <item x="15"/>
        <item x="10"/>
        <item x="21"/>
        <item x="22"/>
        <item x="19"/>
        <item t="default"/>
      </items>
    </pivotField>
    <pivotField showAll="0"/>
    <pivotField axis="axisRow" showAll="0">
      <items count="401">
        <item m="1" x="200"/>
        <item m="1" x="209"/>
        <item m="1" x="299"/>
        <item m="1" x="300"/>
        <item m="1" x="301"/>
        <item m="1" x="362"/>
        <item m="1" x="303"/>
        <item m="1" x="304"/>
        <item m="1" x="305"/>
        <item m="1" x="306"/>
        <item m="1" x="307"/>
        <item m="1" x="308"/>
        <item m="1" x="210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211"/>
        <item m="1" x="319"/>
        <item m="1" x="320"/>
        <item m="1" x="321"/>
        <item m="1" x="322"/>
        <item m="1" x="218"/>
        <item m="1" x="324"/>
        <item m="1" x="325"/>
        <item m="1" x="326"/>
        <item m="1" x="327"/>
        <item m="1" x="328"/>
        <item m="1" x="212"/>
        <item m="1" x="329"/>
        <item m="1" x="330"/>
        <item m="1" x="331"/>
        <item m="1" x="332"/>
        <item m="1" x="244"/>
        <item m="1" x="334"/>
        <item m="1" x="335"/>
        <item m="1" x="336"/>
        <item m="1" x="337"/>
        <item m="1" x="338"/>
        <item m="1" x="213"/>
        <item m="1" x="339"/>
        <item m="1" x="340"/>
        <item m="1" x="341"/>
        <item m="1" x="342"/>
        <item m="1" x="343"/>
        <item m="1" x="344"/>
        <item m="1" x="345"/>
        <item m="1" x="346"/>
        <item m="1" x="235"/>
        <item m="1" x="348"/>
        <item m="1" x="214"/>
        <item m="1" x="349"/>
        <item m="1" x="350"/>
        <item m="1" x="351"/>
        <item m="1" x="352"/>
        <item m="1" x="353"/>
        <item m="1" x="354"/>
        <item m="1" x="333"/>
        <item m="1" x="356"/>
        <item m="1" x="357"/>
        <item m="1" x="358"/>
        <item m="1" x="215"/>
        <item m="1" x="359"/>
        <item m="1" x="360"/>
        <item m="1" x="361"/>
        <item m="1" x="302"/>
        <item m="1" x="363"/>
        <item m="1" x="364"/>
        <item m="1" x="365"/>
        <item m="1" x="366"/>
        <item m="1" x="367"/>
        <item m="1" x="368"/>
        <item m="1" x="216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217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55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201"/>
        <item m="1" x="219"/>
        <item m="1" x="399"/>
        <item m="1" x="220"/>
        <item m="1" x="221"/>
        <item m="1" x="222"/>
        <item m="1" x="223"/>
        <item m="1" x="224"/>
        <item m="1" x="225"/>
        <item m="1" x="226"/>
        <item m="1" x="227"/>
        <item m="1" x="347"/>
        <item m="1" x="202"/>
        <item m="1" x="229"/>
        <item m="1" x="230"/>
        <item m="1" x="268"/>
        <item m="1" x="232"/>
        <item m="1" x="233"/>
        <item m="1" x="234"/>
        <item m="1" x="286"/>
        <item m="1" x="236"/>
        <item m="1" x="237"/>
        <item m="1" x="238"/>
        <item m="1" x="203"/>
        <item m="1" x="239"/>
        <item m="1" x="240"/>
        <item m="1" x="241"/>
        <item m="1" x="242"/>
        <item m="1" x="243"/>
        <item m="1" x="298"/>
        <item m="1" x="245"/>
        <item m="1" x="246"/>
        <item m="1" x="247"/>
        <item m="1" x="248"/>
        <item m="1" x="204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05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28"/>
        <item m="1" x="206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07"/>
        <item m="1" x="279"/>
        <item m="1" x="280"/>
        <item m="1" x="281"/>
        <item m="1" x="282"/>
        <item m="1" x="283"/>
        <item m="1" x="284"/>
        <item m="1" x="285"/>
        <item m="1" x="287"/>
        <item m="1" x="323"/>
        <item m="1" x="288"/>
        <item m="1" x="20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umFmtId="164" showAll="0"/>
    <pivotField showAll="0"/>
    <pivotField showAll="0"/>
    <pivotField numFmtId="164" showAll="0"/>
    <pivotField numFmtId="164" showAll="0"/>
    <pivotField dataField="1" numFmtId="164" showAll="0"/>
    <pivotField dataField="1" numFmtId="165" showAll="0"/>
    <pivotField dataField="1" numFmtId="164" showAll="0"/>
    <pivotField numFmtId="10" showAll="0"/>
    <pivotField showAll="0"/>
    <pivotField showAll="0"/>
    <pivotField name="Eligible for UA Campaing" axis="axisPage" showAll="0">
      <items count="3">
        <item x="0"/>
        <item x="1"/>
        <item t="default"/>
      </items>
    </pivotField>
  </pivotFields>
  <rowFields count="2">
    <field x="0"/>
    <field x="2"/>
  </rowFields>
  <rowItems count="14">
    <i>
      <x v="6"/>
    </i>
    <i r="1">
      <x v="231"/>
    </i>
    <i r="1">
      <x v="235"/>
    </i>
    <i>
      <x v="7"/>
    </i>
    <i r="1">
      <x v="237"/>
    </i>
    <i r="1">
      <x v="244"/>
    </i>
    <i>
      <x v="8"/>
    </i>
    <i r="1">
      <x v="268"/>
    </i>
    <i>
      <x v="13"/>
    </i>
    <i r="1">
      <x v="298"/>
    </i>
    <i r="1">
      <x v="302"/>
    </i>
    <i>
      <x v="23"/>
    </i>
    <i r="1">
      <x v="36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4" item="1" hier="-1"/>
  </pageFields>
  <dataFields count="3">
    <dataField name="ROAS 30d (Average)" fld="9" subtotal="average" baseField="2" baseItem="132" numFmtId="165"/>
    <dataField name="CAC (Average)" fld="8" subtotal="average" baseField="2" baseItem="132" numFmtId="164"/>
    <dataField name="LTV 90d (Average)" fld="10" subtotal="average" baseField="2" baseItem="132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343CC-3E31-4FB9-B6F0-1AAAEAACD021}" name="PivotTable3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 rowHeaderCaption="App Name">
  <location ref="B35:E47" firstHeaderRow="0" firstDataRow="1" firstDataCol="1" rowPageCount="1" colPageCount="1"/>
  <pivotFields count="15">
    <pivotField axis="axisRow" showAll="0" measureFilter="1">
      <items count="26">
        <item x="1"/>
        <item x="4"/>
        <item x="6"/>
        <item x="7"/>
        <item x="17"/>
        <item x="13"/>
        <item x="18"/>
        <item x="0"/>
        <item x="8"/>
        <item x="14"/>
        <item x="2"/>
        <item x="16"/>
        <item x="23"/>
        <item x="12"/>
        <item x="24"/>
        <item x="11"/>
        <item x="3"/>
        <item x="20"/>
        <item x="9"/>
        <item x="5"/>
        <item x="15"/>
        <item x="10"/>
        <item x="21"/>
        <item x="22"/>
        <item x="19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numFmtId="164" showAll="0"/>
    <pivotField showAll="0"/>
    <pivotField showAll="0"/>
    <pivotField numFmtId="164" showAll="0"/>
    <pivotField numFmtId="164" showAll="0"/>
    <pivotField dataField="1" numFmtId="164" showAll="0"/>
    <pivotField dataField="1" numFmtId="165" showAll="0"/>
    <pivotField dataField="1" numFmtId="164" showAll="0"/>
    <pivotField numFmtId="10" showAll="0"/>
    <pivotField showAll="0"/>
    <pivotField showAll="0"/>
    <pivotField name="Eligible for UA Campaing" axis="axisPage" showAll="0">
      <items count="3">
        <item x="0"/>
        <item x="1"/>
        <item t="default"/>
      </items>
    </pivotField>
  </pivotFields>
  <rowFields count="2">
    <field x="0"/>
    <field x="1"/>
  </rowFields>
  <rowItems count="12">
    <i>
      <x v="6"/>
    </i>
    <i r="1">
      <x v="2"/>
    </i>
    <i>
      <x v="7"/>
    </i>
    <i r="1">
      <x/>
    </i>
    <i r="1">
      <x v="1"/>
    </i>
    <i>
      <x v="8"/>
    </i>
    <i r="1">
      <x v="1"/>
    </i>
    <i>
      <x v="13"/>
    </i>
    <i r="1">
      <x/>
    </i>
    <i r="1">
      <x v="2"/>
    </i>
    <i>
      <x v="23"/>
    </i>
    <i r="1">
      <x v="1"/>
    </i>
  </rowItems>
  <colFields count="1">
    <field x="-2"/>
  </colFields>
  <colItems count="3">
    <i>
      <x/>
    </i>
    <i i="1">
      <x v="1"/>
    </i>
    <i i="2">
      <x v="2"/>
    </i>
  </colItems>
  <pageFields count="1">
    <pageField fld="14" item="1" hier="-1"/>
  </pageFields>
  <dataFields count="3">
    <dataField name="ROAS 30d (Average)" fld="9" subtotal="average" baseField="1" baseItem="0" numFmtId="165"/>
    <dataField name="CAC (Average)" fld="8" subtotal="average" baseField="1" baseItem="0" numFmtId="164"/>
    <dataField name="LTV 90d (Average)" fld="10" subtotal="average" baseField="1" baseItem="0" numFmtId="164"/>
  </dataFields>
  <formats count="8">
    <format dxfId="23">
      <pivotArea outline="0" collapsedLevelsAreSubtotals="1" fieldPosition="0"/>
    </format>
    <format dxfId="2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9">
      <pivotArea field="1" type="button" dataOnly="0" labelOnly="1" outline="0" axis="axisRow" fieldPosition="1"/>
    </format>
    <format dxfId="18">
      <pivotArea field="1" type="button" dataOnly="0" labelOnly="1" outline="0" axis="axisRow" fieldPosition="1"/>
    </format>
    <format dxfId="17">
      <pivotArea dataOnly="0" labelOnly="1" fieldPosition="0">
        <references count="1">
          <reference field="1" count="0"/>
        </references>
      </pivotArea>
    </format>
    <format dxfId="16">
      <pivotArea field="14" type="button" dataOnly="0" labelOnly="1" outline="0" axis="axisPage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3"/>
  <sheetViews>
    <sheetView workbookViewId="0">
      <pane ySplit="3" topLeftCell="A4" activePane="bottomLeft" state="frozen"/>
      <selection pane="bottomLeft" activeCell="S11" sqref="S11"/>
    </sheetView>
  </sheetViews>
  <sheetFormatPr defaultRowHeight="15" x14ac:dyDescent="0.25"/>
  <cols>
    <col min="1" max="1" width="22" customWidth="1"/>
    <col min="2" max="2" width="10" style="19" customWidth="1"/>
    <col min="3" max="3" width="31.140625" style="19" bestFit="1" customWidth="1"/>
    <col min="4" max="4" width="23.85546875" customWidth="1"/>
    <col min="5" max="5" width="10" customWidth="1"/>
    <col min="6" max="6" width="22.28515625" customWidth="1"/>
    <col min="7" max="7" width="30.5703125" customWidth="1"/>
    <col min="8" max="8" width="23.140625" customWidth="1"/>
    <col min="9" max="10" width="10" customWidth="1"/>
    <col min="11" max="11" width="24.5703125" customWidth="1"/>
    <col min="12" max="12" width="22.28515625" customWidth="1"/>
    <col min="13" max="13" width="12.140625" bestFit="1" customWidth="1"/>
    <col min="14" max="14" width="16" customWidth="1"/>
    <col min="15" max="15" width="19.85546875" customWidth="1"/>
    <col min="16" max="16" width="23.28515625" customWidth="1"/>
  </cols>
  <sheetData>
    <row r="1" spans="1:16" ht="15.75" thickBot="1" x14ac:dyDescent="0.3"/>
    <row r="2" spans="1:16" ht="15.75" thickBot="1" x14ac:dyDescent="0.3">
      <c r="A2" s="61" t="s">
        <v>33</v>
      </c>
      <c r="B2" s="62"/>
      <c r="C2" s="62"/>
      <c r="D2" s="62"/>
      <c r="E2" s="62"/>
      <c r="F2" s="62"/>
      <c r="G2" s="62"/>
      <c r="H2" s="63"/>
      <c r="I2" s="64" t="s">
        <v>32</v>
      </c>
      <c r="J2" s="65"/>
      <c r="K2" s="65"/>
      <c r="L2" s="65"/>
      <c r="M2" s="65"/>
      <c r="N2" s="65"/>
      <c r="O2" s="65"/>
      <c r="P2" s="66"/>
    </row>
    <row r="3" spans="1:16" ht="15.75" thickBot="1" x14ac:dyDescent="0.3">
      <c r="A3" s="21" t="s">
        <v>261</v>
      </c>
      <c r="B3" s="22" t="s">
        <v>262</v>
      </c>
      <c r="C3" s="22" t="s">
        <v>263</v>
      </c>
      <c r="D3" s="22" t="s">
        <v>264</v>
      </c>
      <c r="E3" s="22" t="s">
        <v>265</v>
      </c>
      <c r="F3" s="22" t="s">
        <v>266</v>
      </c>
      <c r="G3" s="22" t="s">
        <v>267</v>
      </c>
      <c r="H3" s="23" t="s">
        <v>268</v>
      </c>
      <c r="I3" s="24" t="s">
        <v>269</v>
      </c>
      <c r="J3" s="25" t="s">
        <v>270</v>
      </c>
      <c r="K3" s="25" t="s">
        <v>271</v>
      </c>
      <c r="L3" s="25" t="s">
        <v>272</v>
      </c>
      <c r="M3" s="25" t="s">
        <v>273</v>
      </c>
      <c r="N3" s="25" t="s">
        <v>274</v>
      </c>
      <c r="O3" s="25" t="s">
        <v>275</v>
      </c>
      <c r="P3" s="26" t="s">
        <v>276</v>
      </c>
    </row>
    <row r="4" spans="1:16" x14ac:dyDescent="0.25">
      <c r="A4" s="15" t="s">
        <v>7</v>
      </c>
      <c r="B4" s="19" t="s">
        <v>17</v>
      </c>
      <c r="C4" s="19" t="s">
        <v>52</v>
      </c>
      <c r="D4" s="2">
        <v>2700.3</v>
      </c>
      <c r="E4">
        <v>9512</v>
      </c>
      <c r="F4">
        <v>1882</v>
      </c>
      <c r="G4" s="2">
        <v>436.82</v>
      </c>
      <c r="H4" s="16">
        <v>956.11</v>
      </c>
      <c r="I4" s="7">
        <f t="shared" ref="I4:I35" si="0">IFERROR(D4/E4,"")</f>
        <v>0.28388351555929353</v>
      </c>
      <c r="J4" s="3">
        <f t="shared" ref="J4:J35" si="1">IFERROR(G4/D4,"")</f>
        <v>0.161767211050624</v>
      </c>
      <c r="K4" s="2">
        <f t="shared" ref="K4:K35" si="2">IFERROR(H4/E4,"")</f>
        <v>0.10051619007569386</v>
      </c>
      <c r="L4" s="4">
        <f t="shared" ref="L4:L35" si="3">IFERROR(F4/E4,"")</f>
        <v>0.19785534062237173</v>
      </c>
      <c r="M4" s="3">
        <f>IFERROR(K4/I4,"")</f>
        <v>0.35407547309558196</v>
      </c>
      <c r="N4" t="str">
        <f t="shared" ref="N4:N35" si="4">IF(J4&gt;1,"Profitable",IF(J4&gt;=0.8,"Breakeven","Needs Optimization"))</f>
        <v>Needs Optimization</v>
      </c>
      <c r="O4" t="str">
        <f t="shared" ref="O4:O35" si="5">IF(K4&gt;I4,"YES","NO")</f>
        <v>NO</v>
      </c>
      <c r="P4" s="8" t="str">
        <f t="shared" ref="P4:P35" si="6">IF(AND(N4="Profitable",O4="YES"),"YES","NO")</f>
        <v>NO</v>
      </c>
    </row>
    <row r="5" spans="1:16" x14ac:dyDescent="0.25">
      <c r="A5" s="15" t="s">
        <v>4</v>
      </c>
      <c r="B5" s="19" t="s">
        <v>17</v>
      </c>
      <c r="C5" s="19" t="s">
        <v>53</v>
      </c>
      <c r="D5" s="2">
        <v>18533.79</v>
      </c>
      <c r="E5">
        <v>1541</v>
      </c>
      <c r="F5">
        <v>172</v>
      </c>
      <c r="G5" s="2">
        <v>116.9</v>
      </c>
      <c r="H5" s="16">
        <v>155.69</v>
      </c>
      <c r="I5" s="7">
        <f t="shared" si="0"/>
        <v>12.027118754055808</v>
      </c>
      <c r="J5" s="3">
        <f t="shared" si="1"/>
        <v>6.3073985407194107E-3</v>
      </c>
      <c r="K5" s="2">
        <f t="shared" si="2"/>
        <v>0.10103179753406878</v>
      </c>
      <c r="L5" s="4">
        <f t="shared" si="3"/>
        <v>0.11161583387410773</v>
      </c>
      <c r="M5" s="3">
        <f t="shared" ref="M5:M68" si="7">IFERROR(K5/I5,"")</f>
        <v>8.4003325817331477E-3</v>
      </c>
      <c r="N5" t="str">
        <f t="shared" si="4"/>
        <v>Needs Optimization</v>
      </c>
      <c r="O5" t="str">
        <f t="shared" si="5"/>
        <v>NO</v>
      </c>
      <c r="P5" s="8" t="str">
        <f t="shared" si="6"/>
        <v>NO</v>
      </c>
    </row>
    <row r="6" spans="1:16" x14ac:dyDescent="0.25">
      <c r="A6" s="15" t="s">
        <v>10</v>
      </c>
      <c r="B6" s="19" t="s">
        <v>18</v>
      </c>
      <c r="C6" s="19" t="s">
        <v>54</v>
      </c>
      <c r="D6" s="2">
        <v>20196.759999999998</v>
      </c>
      <c r="E6">
        <v>18356</v>
      </c>
      <c r="F6">
        <v>4915</v>
      </c>
      <c r="G6" s="2">
        <v>3789.17</v>
      </c>
      <c r="H6" s="16">
        <v>8878.6299999999992</v>
      </c>
      <c r="I6" s="7">
        <f t="shared" si="0"/>
        <v>1.1002811069949878</v>
      </c>
      <c r="J6" s="3">
        <f t="shared" si="1"/>
        <v>0.18761276561191004</v>
      </c>
      <c r="K6" s="2">
        <f t="shared" si="2"/>
        <v>0.48369089126171277</v>
      </c>
      <c r="L6" s="4">
        <f t="shared" si="3"/>
        <v>0.26775986053606449</v>
      </c>
      <c r="M6" s="3">
        <f t="shared" si="7"/>
        <v>0.43960664977946962</v>
      </c>
      <c r="N6" t="str">
        <f t="shared" si="4"/>
        <v>Needs Optimization</v>
      </c>
      <c r="O6" t="str">
        <f t="shared" si="5"/>
        <v>NO</v>
      </c>
      <c r="P6" s="8" t="str">
        <f t="shared" si="6"/>
        <v>NO</v>
      </c>
    </row>
    <row r="7" spans="1:16" x14ac:dyDescent="0.25">
      <c r="A7" s="15" t="s">
        <v>19</v>
      </c>
      <c r="B7" s="19" t="s">
        <v>17</v>
      </c>
      <c r="C7" s="19" t="s">
        <v>55</v>
      </c>
      <c r="D7" s="2">
        <v>21547.9</v>
      </c>
      <c r="E7">
        <v>11649</v>
      </c>
      <c r="F7">
        <v>2459</v>
      </c>
      <c r="G7" s="2">
        <v>2363.94</v>
      </c>
      <c r="H7" s="16">
        <v>3363.06</v>
      </c>
      <c r="I7" s="7">
        <f t="shared" si="0"/>
        <v>1.8497639282341833</v>
      </c>
      <c r="J7" s="3">
        <f t="shared" si="1"/>
        <v>0.10970628228272825</v>
      </c>
      <c r="K7" s="2">
        <f t="shared" si="2"/>
        <v>0.28869945918104556</v>
      </c>
      <c r="L7" s="4">
        <f t="shared" si="3"/>
        <v>0.21109108077946606</v>
      </c>
      <c r="M7" s="3">
        <f t="shared" si="7"/>
        <v>0.15607367771337344</v>
      </c>
      <c r="N7" t="str">
        <f t="shared" si="4"/>
        <v>Needs Optimization</v>
      </c>
      <c r="O7" t="str">
        <f t="shared" si="5"/>
        <v>NO</v>
      </c>
      <c r="P7" s="8" t="str">
        <f t="shared" si="6"/>
        <v>NO</v>
      </c>
    </row>
    <row r="8" spans="1:16" x14ac:dyDescent="0.25">
      <c r="A8" s="15" t="s">
        <v>20</v>
      </c>
      <c r="B8" s="19" t="s">
        <v>17</v>
      </c>
      <c r="C8" s="19" t="s">
        <v>56</v>
      </c>
      <c r="D8" s="2">
        <v>12051.42</v>
      </c>
      <c r="E8">
        <v>11770</v>
      </c>
      <c r="F8">
        <v>4019</v>
      </c>
      <c r="G8" s="2">
        <v>9700.83</v>
      </c>
      <c r="H8" s="16">
        <v>18853.310000000001</v>
      </c>
      <c r="I8" s="7">
        <f t="shared" si="0"/>
        <v>1.0239099405267629</v>
      </c>
      <c r="J8" s="3">
        <f t="shared" si="1"/>
        <v>0.8049532752157007</v>
      </c>
      <c r="K8" s="2">
        <f t="shared" si="2"/>
        <v>1.6018105352591334</v>
      </c>
      <c r="L8" s="4">
        <f t="shared" si="3"/>
        <v>0.34146134239592185</v>
      </c>
      <c r="M8" s="3">
        <f t="shared" si="7"/>
        <v>1.5644056882923341</v>
      </c>
      <c r="N8" t="str">
        <f t="shared" si="4"/>
        <v>Breakeven</v>
      </c>
      <c r="O8" t="str">
        <f t="shared" si="5"/>
        <v>YES</v>
      </c>
      <c r="P8" s="8" t="str">
        <f t="shared" si="6"/>
        <v>NO</v>
      </c>
    </row>
    <row r="9" spans="1:16" x14ac:dyDescent="0.25">
      <c r="A9" s="15" t="s">
        <v>20</v>
      </c>
      <c r="B9" s="19" t="s">
        <v>17</v>
      </c>
      <c r="C9" s="19" t="s">
        <v>57</v>
      </c>
      <c r="D9" s="2">
        <v>17457.14</v>
      </c>
      <c r="E9">
        <v>12350</v>
      </c>
      <c r="F9">
        <v>4087</v>
      </c>
      <c r="G9" s="2">
        <v>2262.81</v>
      </c>
      <c r="H9" s="16">
        <v>3560.48</v>
      </c>
      <c r="I9" s="7">
        <f t="shared" si="0"/>
        <v>1.4135336032388663</v>
      </c>
      <c r="J9" s="3">
        <f t="shared" si="1"/>
        <v>0.12962088864498997</v>
      </c>
      <c r="K9" s="2">
        <f t="shared" si="2"/>
        <v>0.28829797570850202</v>
      </c>
      <c r="L9" s="4">
        <f t="shared" si="3"/>
        <v>0.3309311740890688</v>
      </c>
      <c r="M9" s="3">
        <f t="shared" si="7"/>
        <v>0.20395551619566551</v>
      </c>
      <c r="N9" t="str">
        <f t="shared" si="4"/>
        <v>Needs Optimization</v>
      </c>
      <c r="O9" t="str">
        <f t="shared" si="5"/>
        <v>NO</v>
      </c>
      <c r="P9" s="8" t="str">
        <f t="shared" si="6"/>
        <v>NO</v>
      </c>
    </row>
    <row r="10" spans="1:16" x14ac:dyDescent="0.25">
      <c r="A10" s="15" t="s">
        <v>15</v>
      </c>
      <c r="B10" s="19" t="s">
        <v>17</v>
      </c>
      <c r="C10" s="19" t="s">
        <v>58</v>
      </c>
      <c r="D10" s="2">
        <v>25948.9</v>
      </c>
      <c r="E10">
        <v>3809</v>
      </c>
      <c r="F10">
        <v>960</v>
      </c>
      <c r="G10" s="2">
        <v>1613.72</v>
      </c>
      <c r="H10" s="16">
        <v>2412.81</v>
      </c>
      <c r="I10" s="7">
        <f t="shared" si="0"/>
        <v>6.8125229719086375</v>
      </c>
      <c r="J10" s="3">
        <f t="shared" si="1"/>
        <v>6.2188377927388058E-2</v>
      </c>
      <c r="K10" s="2">
        <f t="shared" si="2"/>
        <v>0.63344972433709634</v>
      </c>
      <c r="L10" s="4">
        <f t="shared" si="3"/>
        <v>0.25203465476503017</v>
      </c>
      <c r="M10" s="3">
        <f t="shared" si="7"/>
        <v>9.298313223296556E-2</v>
      </c>
      <c r="N10" t="str">
        <f t="shared" si="4"/>
        <v>Needs Optimization</v>
      </c>
      <c r="O10" t="str">
        <f t="shared" si="5"/>
        <v>NO</v>
      </c>
      <c r="P10" s="8" t="str">
        <f t="shared" si="6"/>
        <v>NO</v>
      </c>
    </row>
    <row r="11" spans="1:16" x14ac:dyDescent="0.25">
      <c r="A11" s="15" t="s">
        <v>21</v>
      </c>
      <c r="B11" s="19" t="s">
        <v>17</v>
      </c>
      <c r="C11" s="19" t="s">
        <v>59</v>
      </c>
      <c r="D11" s="2">
        <v>20764.900000000001</v>
      </c>
      <c r="E11">
        <v>2839</v>
      </c>
      <c r="F11">
        <v>975</v>
      </c>
      <c r="G11" s="2">
        <v>791.78</v>
      </c>
      <c r="H11" s="16">
        <v>1184.57</v>
      </c>
      <c r="I11" s="7">
        <f t="shared" si="0"/>
        <v>7.3141599154631916</v>
      </c>
      <c r="J11" s="3">
        <f t="shared" si="1"/>
        <v>3.813069169608329E-2</v>
      </c>
      <c r="K11" s="2">
        <f t="shared" si="2"/>
        <v>0.41724903134906655</v>
      </c>
      <c r="L11" s="4">
        <f t="shared" si="3"/>
        <v>0.34343078548784783</v>
      </c>
      <c r="M11" s="3">
        <f t="shared" si="7"/>
        <v>5.7046747155054915E-2</v>
      </c>
      <c r="N11" t="str">
        <f t="shared" si="4"/>
        <v>Needs Optimization</v>
      </c>
      <c r="O11" t="str">
        <f t="shared" si="5"/>
        <v>NO</v>
      </c>
      <c r="P11" s="8" t="str">
        <f t="shared" si="6"/>
        <v>NO</v>
      </c>
    </row>
    <row r="12" spans="1:16" x14ac:dyDescent="0.25">
      <c r="A12" s="15" t="s">
        <v>20</v>
      </c>
      <c r="B12" s="19" t="s">
        <v>22</v>
      </c>
      <c r="C12" s="19" t="s">
        <v>60</v>
      </c>
      <c r="D12" s="2">
        <v>29706.65</v>
      </c>
      <c r="E12">
        <v>18750</v>
      </c>
      <c r="F12">
        <v>3522</v>
      </c>
      <c r="G12" s="2">
        <v>4389.34</v>
      </c>
      <c r="H12" s="16">
        <v>6000.78</v>
      </c>
      <c r="I12" s="7">
        <f t="shared" si="0"/>
        <v>1.5843546666666668</v>
      </c>
      <c r="J12" s="3">
        <f t="shared" si="1"/>
        <v>0.1477561421432575</v>
      </c>
      <c r="K12" s="2">
        <f t="shared" si="2"/>
        <v>0.32004159999999998</v>
      </c>
      <c r="L12" s="4">
        <f t="shared" si="3"/>
        <v>0.18784000000000001</v>
      </c>
      <c r="M12" s="3">
        <f t="shared" si="7"/>
        <v>0.20200123541361947</v>
      </c>
      <c r="N12" t="str">
        <f t="shared" si="4"/>
        <v>Needs Optimization</v>
      </c>
      <c r="O12" t="str">
        <f t="shared" si="5"/>
        <v>NO</v>
      </c>
      <c r="P12" s="8" t="str">
        <f t="shared" si="6"/>
        <v>NO</v>
      </c>
    </row>
    <row r="13" spans="1:16" x14ac:dyDescent="0.25">
      <c r="A13" s="15" t="s">
        <v>23</v>
      </c>
      <c r="B13" s="19" t="s">
        <v>22</v>
      </c>
      <c r="C13" s="19" t="s">
        <v>61</v>
      </c>
      <c r="D13" s="2">
        <v>13232.61</v>
      </c>
      <c r="E13">
        <v>2668</v>
      </c>
      <c r="F13">
        <v>491</v>
      </c>
      <c r="G13" s="2">
        <v>1568.26</v>
      </c>
      <c r="H13" s="16">
        <v>2630.93</v>
      </c>
      <c r="I13" s="7">
        <f t="shared" si="0"/>
        <v>4.9597488755622194</v>
      </c>
      <c r="J13" s="3">
        <f t="shared" si="1"/>
        <v>0.11851479035503955</v>
      </c>
      <c r="K13" s="2">
        <f t="shared" si="2"/>
        <v>0.98610569715142427</v>
      </c>
      <c r="L13" s="4">
        <f t="shared" si="3"/>
        <v>0.18403298350824587</v>
      </c>
      <c r="M13" s="3">
        <f t="shared" si="7"/>
        <v>0.19882169881829811</v>
      </c>
      <c r="N13" t="str">
        <f t="shared" si="4"/>
        <v>Needs Optimization</v>
      </c>
      <c r="O13" t="str">
        <f t="shared" si="5"/>
        <v>NO</v>
      </c>
      <c r="P13" s="8" t="str">
        <f t="shared" si="6"/>
        <v>NO</v>
      </c>
    </row>
    <row r="14" spans="1:16" x14ac:dyDescent="0.25">
      <c r="A14" s="15" t="s">
        <v>7</v>
      </c>
      <c r="B14" s="19" t="s">
        <v>22</v>
      </c>
      <c r="C14" s="19" t="s">
        <v>62</v>
      </c>
      <c r="D14" s="2">
        <v>13077.69</v>
      </c>
      <c r="E14">
        <v>15535</v>
      </c>
      <c r="F14">
        <v>2441</v>
      </c>
      <c r="G14" s="2">
        <v>1826.96</v>
      </c>
      <c r="H14" s="16">
        <v>3556.68</v>
      </c>
      <c r="I14" s="7">
        <f t="shared" si="0"/>
        <v>0.84182104924364343</v>
      </c>
      <c r="J14" s="3">
        <f t="shared" si="1"/>
        <v>0.13970051285815768</v>
      </c>
      <c r="K14" s="2">
        <f t="shared" si="2"/>
        <v>0.22894625040231734</v>
      </c>
      <c r="L14" s="4">
        <f t="shared" si="3"/>
        <v>0.15712906340521404</v>
      </c>
      <c r="M14" s="3">
        <f t="shared" si="7"/>
        <v>0.27196546179027026</v>
      </c>
      <c r="N14" t="str">
        <f t="shared" si="4"/>
        <v>Needs Optimization</v>
      </c>
      <c r="O14" t="str">
        <f t="shared" si="5"/>
        <v>NO</v>
      </c>
      <c r="P14" s="8" t="str">
        <f t="shared" si="6"/>
        <v>NO</v>
      </c>
    </row>
    <row r="15" spans="1:16" x14ac:dyDescent="0.25">
      <c r="A15" s="15" t="s">
        <v>8</v>
      </c>
      <c r="B15" s="19" t="s">
        <v>18</v>
      </c>
      <c r="C15" s="19" t="s">
        <v>63</v>
      </c>
      <c r="D15" s="2">
        <v>13996.15</v>
      </c>
      <c r="E15">
        <v>19621</v>
      </c>
      <c r="F15">
        <v>5096</v>
      </c>
      <c r="G15" s="2">
        <v>6162.23</v>
      </c>
      <c r="H15" s="16">
        <v>11778.68</v>
      </c>
      <c r="I15" s="7">
        <f t="shared" si="0"/>
        <v>0.71332500891901529</v>
      </c>
      <c r="J15" s="3">
        <f t="shared" si="1"/>
        <v>0.44028036281405958</v>
      </c>
      <c r="K15" s="2">
        <f t="shared" si="2"/>
        <v>0.60030987207583708</v>
      </c>
      <c r="L15" s="4">
        <f t="shared" si="3"/>
        <v>0.25972172672136995</v>
      </c>
      <c r="M15" s="3">
        <f t="shared" si="7"/>
        <v>0.84156571628626442</v>
      </c>
      <c r="N15" t="str">
        <f t="shared" si="4"/>
        <v>Needs Optimization</v>
      </c>
      <c r="O15" t="str">
        <f t="shared" si="5"/>
        <v>NO</v>
      </c>
      <c r="P15" s="8" t="str">
        <f t="shared" si="6"/>
        <v>NO</v>
      </c>
    </row>
    <row r="16" spans="1:16" x14ac:dyDescent="0.25">
      <c r="A16" s="15" t="s">
        <v>14</v>
      </c>
      <c r="B16" s="19" t="s">
        <v>17</v>
      </c>
      <c r="C16" s="19" t="s">
        <v>64</v>
      </c>
      <c r="D16" s="2">
        <v>26110.880000000001</v>
      </c>
      <c r="E16">
        <v>5508</v>
      </c>
      <c r="F16">
        <v>1933</v>
      </c>
      <c r="G16" s="2">
        <v>3049.09</v>
      </c>
      <c r="H16" s="16">
        <v>4196.26</v>
      </c>
      <c r="I16" s="7">
        <f t="shared" si="0"/>
        <v>4.7405374001452438</v>
      </c>
      <c r="J16" s="3">
        <f t="shared" si="1"/>
        <v>0.11677469315473091</v>
      </c>
      <c r="K16" s="2">
        <f t="shared" si="2"/>
        <v>0.76184822076978942</v>
      </c>
      <c r="L16" s="4">
        <f t="shared" si="3"/>
        <v>0.35094408133623822</v>
      </c>
      <c r="M16" s="3">
        <f t="shared" si="7"/>
        <v>0.16070925223508359</v>
      </c>
      <c r="N16" t="str">
        <f t="shared" si="4"/>
        <v>Needs Optimization</v>
      </c>
      <c r="O16" t="str">
        <f t="shared" si="5"/>
        <v>NO</v>
      </c>
      <c r="P16" s="8" t="str">
        <f t="shared" si="6"/>
        <v>NO</v>
      </c>
    </row>
    <row r="17" spans="1:16" x14ac:dyDescent="0.25">
      <c r="A17" s="15" t="s">
        <v>20</v>
      </c>
      <c r="B17" s="19" t="s">
        <v>18</v>
      </c>
      <c r="C17" s="19" t="s">
        <v>65</v>
      </c>
      <c r="D17" s="2">
        <v>29891.4</v>
      </c>
      <c r="E17">
        <v>17838</v>
      </c>
      <c r="F17">
        <v>3577</v>
      </c>
      <c r="G17" s="2">
        <v>7803.46</v>
      </c>
      <c r="H17" s="16">
        <v>16514.78</v>
      </c>
      <c r="I17" s="7">
        <f t="shared" si="0"/>
        <v>1.6757147662293981</v>
      </c>
      <c r="J17" s="3">
        <f t="shared" si="1"/>
        <v>0.26106037187953723</v>
      </c>
      <c r="K17" s="2">
        <f t="shared" si="2"/>
        <v>0.92582015921067373</v>
      </c>
      <c r="L17" s="4">
        <f t="shared" si="3"/>
        <v>0.20052696490637964</v>
      </c>
      <c r="M17" s="3">
        <f t="shared" si="7"/>
        <v>0.55249269020520941</v>
      </c>
      <c r="N17" t="str">
        <f t="shared" si="4"/>
        <v>Needs Optimization</v>
      </c>
      <c r="O17" t="str">
        <f t="shared" si="5"/>
        <v>NO</v>
      </c>
      <c r="P17" s="8" t="str">
        <f t="shared" si="6"/>
        <v>NO</v>
      </c>
    </row>
    <row r="18" spans="1:16" x14ac:dyDescent="0.25">
      <c r="A18" s="15" t="s">
        <v>24</v>
      </c>
      <c r="B18" s="19" t="s">
        <v>18</v>
      </c>
      <c r="C18" s="19" t="s">
        <v>66</v>
      </c>
      <c r="D18" s="2">
        <v>26774.080000000002</v>
      </c>
      <c r="E18">
        <v>9243</v>
      </c>
      <c r="F18">
        <v>3765</v>
      </c>
      <c r="G18" s="2">
        <v>2449.4</v>
      </c>
      <c r="H18" s="16">
        <v>3649.09</v>
      </c>
      <c r="I18" s="7">
        <f t="shared" si="0"/>
        <v>2.8966872227631724</v>
      </c>
      <c r="J18" s="3">
        <f t="shared" si="1"/>
        <v>9.1484002438179016E-2</v>
      </c>
      <c r="K18" s="2">
        <f t="shared" si="2"/>
        <v>0.39479497998485341</v>
      </c>
      <c r="L18" s="4">
        <f t="shared" si="3"/>
        <v>0.40733528075300229</v>
      </c>
      <c r="M18" s="3">
        <f t="shared" si="7"/>
        <v>0.13629189126199667</v>
      </c>
      <c r="N18" t="str">
        <f t="shared" si="4"/>
        <v>Needs Optimization</v>
      </c>
      <c r="O18" t="str">
        <f t="shared" si="5"/>
        <v>NO</v>
      </c>
      <c r="P18" s="8" t="str">
        <f t="shared" si="6"/>
        <v>NO</v>
      </c>
    </row>
    <row r="19" spans="1:16" x14ac:dyDescent="0.25">
      <c r="A19" s="15" t="s">
        <v>25</v>
      </c>
      <c r="B19" s="19" t="s">
        <v>18</v>
      </c>
      <c r="C19" s="19" t="s">
        <v>67</v>
      </c>
      <c r="D19" s="2">
        <v>26523.88</v>
      </c>
      <c r="E19">
        <v>9130</v>
      </c>
      <c r="F19">
        <v>4462</v>
      </c>
      <c r="G19" s="2">
        <v>7785.16</v>
      </c>
      <c r="H19" s="16">
        <v>11114.82</v>
      </c>
      <c r="I19" s="7">
        <f t="shared" si="0"/>
        <v>2.9051347207009859</v>
      </c>
      <c r="J19" s="3">
        <f t="shared" si="1"/>
        <v>0.29351512674616231</v>
      </c>
      <c r="K19" s="2">
        <f t="shared" si="2"/>
        <v>1.2173953997809419</v>
      </c>
      <c r="L19" s="4">
        <f t="shared" si="3"/>
        <v>0.48871851040525738</v>
      </c>
      <c r="M19" s="3">
        <f t="shared" si="7"/>
        <v>0.41904955081986495</v>
      </c>
      <c r="N19" t="str">
        <f t="shared" si="4"/>
        <v>Needs Optimization</v>
      </c>
      <c r="O19" t="str">
        <f t="shared" si="5"/>
        <v>NO</v>
      </c>
      <c r="P19" s="8" t="str">
        <f t="shared" si="6"/>
        <v>NO</v>
      </c>
    </row>
    <row r="20" spans="1:16" x14ac:dyDescent="0.25">
      <c r="A20" s="15" t="s">
        <v>7</v>
      </c>
      <c r="B20" s="19" t="s">
        <v>22</v>
      </c>
      <c r="C20" s="19" t="s">
        <v>68</v>
      </c>
      <c r="D20" s="2">
        <v>25566.74</v>
      </c>
      <c r="E20">
        <v>17135</v>
      </c>
      <c r="F20">
        <v>5887</v>
      </c>
      <c r="G20" s="2">
        <v>4682.9799999999996</v>
      </c>
      <c r="H20" s="16">
        <v>9118.9599999999991</v>
      </c>
      <c r="I20" s="7">
        <f t="shared" si="0"/>
        <v>1.4920770353078496</v>
      </c>
      <c r="J20" s="3">
        <f t="shared" si="1"/>
        <v>0.1831668800949984</v>
      </c>
      <c r="K20" s="2">
        <f t="shared" si="2"/>
        <v>0.53218325065655092</v>
      </c>
      <c r="L20" s="4">
        <f t="shared" si="3"/>
        <v>0.34356580099212136</v>
      </c>
      <c r="M20" s="3">
        <f t="shared" si="7"/>
        <v>0.3566727709516348</v>
      </c>
      <c r="N20" t="str">
        <f t="shared" si="4"/>
        <v>Needs Optimization</v>
      </c>
      <c r="O20" t="str">
        <f t="shared" si="5"/>
        <v>NO</v>
      </c>
      <c r="P20" s="8" t="str">
        <f t="shared" si="6"/>
        <v>NO</v>
      </c>
    </row>
    <row r="21" spans="1:16" x14ac:dyDescent="0.25">
      <c r="A21" s="15" t="s">
        <v>19</v>
      </c>
      <c r="B21" s="19" t="s">
        <v>18</v>
      </c>
      <c r="C21" s="19" t="s">
        <v>69</v>
      </c>
      <c r="D21" s="2">
        <v>27717.82</v>
      </c>
      <c r="E21">
        <v>11121</v>
      </c>
      <c r="F21">
        <v>3285</v>
      </c>
      <c r="G21" s="2">
        <v>1313.35</v>
      </c>
      <c r="H21" s="16">
        <v>3260.24</v>
      </c>
      <c r="I21" s="7">
        <f t="shared" si="0"/>
        <v>2.4923855768366154</v>
      </c>
      <c r="J21" s="3">
        <f t="shared" si="1"/>
        <v>4.7382874988004108E-2</v>
      </c>
      <c r="K21" s="2">
        <f t="shared" si="2"/>
        <v>0.29316068698858017</v>
      </c>
      <c r="L21" s="4">
        <f t="shared" si="3"/>
        <v>0.29538710547612623</v>
      </c>
      <c r="M21" s="3">
        <f t="shared" si="7"/>
        <v>0.1176225258696391</v>
      </c>
      <c r="N21" t="str">
        <f t="shared" si="4"/>
        <v>Needs Optimization</v>
      </c>
      <c r="O21" t="str">
        <f t="shared" si="5"/>
        <v>NO</v>
      </c>
      <c r="P21" s="8" t="str">
        <f t="shared" si="6"/>
        <v>NO</v>
      </c>
    </row>
    <row r="22" spans="1:16" x14ac:dyDescent="0.25">
      <c r="A22" s="15" t="s">
        <v>4</v>
      </c>
      <c r="B22" s="19" t="s">
        <v>17</v>
      </c>
      <c r="C22" s="19" t="s">
        <v>70</v>
      </c>
      <c r="D22" s="2">
        <v>4068.13</v>
      </c>
      <c r="E22">
        <v>11823</v>
      </c>
      <c r="F22">
        <v>5853</v>
      </c>
      <c r="G22" s="2">
        <v>8325.7000000000007</v>
      </c>
      <c r="H22" s="16">
        <v>17720.22</v>
      </c>
      <c r="I22" s="7">
        <f t="shared" si="0"/>
        <v>0.34408610335786183</v>
      </c>
      <c r="J22" s="3">
        <f t="shared" si="1"/>
        <v>2.0465668501252421</v>
      </c>
      <c r="K22" s="2">
        <f t="shared" si="2"/>
        <v>1.4987921847246892</v>
      </c>
      <c r="L22" s="4">
        <f t="shared" si="3"/>
        <v>0.49505201725450393</v>
      </c>
      <c r="M22" s="3">
        <f t="shared" si="7"/>
        <v>4.3558637506667681</v>
      </c>
      <c r="N22" t="str">
        <f t="shared" si="4"/>
        <v>Profitable</v>
      </c>
      <c r="O22" t="str">
        <f t="shared" si="5"/>
        <v>YES</v>
      </c>
      <c r="P22" s="8" t="str">
        <f t="shared" si="6"/>
        <v>YES</v>
      </c>
    </row>
    <row r="23" spans="1:16" x14ac:dyDescent="0.25">
      <c r="A23" s="15" t="s">
        <v>19</v>
      </c>
      <c r="B23" s="19" t="s">
        <v>18</v>
      </c>
      <c r="C23" s="19" t="s">
        <v>71</v>
      </c>
      <c r="D23" s="2">
        <v>23443.360000000001</v>
      </c>
      <c r="E23">
        <v>4707</v>
      </c>
      <c r="F23">
        <v>1712</v>
      </c>
      <c r="G23" s="2">
        <v>1822.11</v>
      </c>
      <c r="H23" s="16">
        <v>3522.52</v>
      </c>
      <c r="I23" s="7">
        <f t="shared" si="0"/>
        <v>4.9805311238580838</v>
      </c>
      <c r="J23" s="3">
        <f t="shared" si="1"/>
        <v>7.7723926945625535E-2</v>
      </c>
      <c r="K23" s="2">
        <f t="shared" si="2"/>
        <v>0.7483577650308052</v>
      </c>
      <c r="L23" s="4">
        <f t="shared" si="3"/>
        <v>0.36371361801572127</v>
      </c>
      <c r="M23" s="3">
        <f t="shared" si="7"/>
        <v>0.1502566185051972</v>
      </c>
      <c r="N23" t="str">
        <f t="shared" si="4"/>
        <v>Needs Optimization</v>
      </c>
      <c r="O23" t="str">
        <f t="shared" si="5"/>
        <v>NO</v>
      </c>
      <c r="P23" s="8" t="str">
        <f t="shared" si="6"/>
        <v>NO</v>
      </c>
    </row>
    <row r="24" spans="1:16" x14ac:dyDescent="0.25">
      <c r="A24" s="15" t="s">
        <v>11</v>
      </c>
      <c r="B24" s="19" t="s">
        <v>22</v>
      </c>
      <c r="C24" s="19" t="s">
        <v>72</v>
      </c>
      <c r="D24" s="2">
        <v>29002.16</v>
      </c>
      <c r="E24">
        <v>18171</v>
      </c>
      <c r="F24">
        <v>7306</v>
      </c>
      <c r="G24" s="2">
        <v>15196.51</v>
      </c>
      <c r="H24" s="16">
        <v>27031.41</v>
      </c>
      <c r="I24" s="7">
        <f t="shared" si="0"/>
        <v>1.5960684607341369</v>
      </c>
      <c r="J24" s="3">
        <f t="shared" si="1"/>
        <v>0.52397855883837618</v>
      </c>
      <c r="K24" s="2">
        <f t="shared" si="2"/>
        <v>1.487612679544329</v>
      </c>
      <c r="L24" s="4">
        <f t="shared" si="3"/>
        <v>0.40206923119255955</v>
      </c>
      <c r="M24" s="3">
        <f t="shared" si="7"/>
        <v>0.93204816468842322</v>
      </c>
      <c r="N24" t="str">
        <f t="shared" si="4"/>
        <v>Needs Optimization</v>
      </c>
      <c r="O24" t="str">
        <f t="shared" si="5"/>
        <v>NO</v>
      </c>
      <c r="P24" s="8" t="str">
        <f t="shared" si="6"/>
        <v>NO</v>
      </c>
    </row>
    <row r="25" spans="1:16" x14ac:dyDescent="0.25">
      <c r="A25" s="15" t="s">
        <v>26</v>
      </c>
      <c r="B25" s="19" t="s">
        <v>18</v>
      </c>
      <c r="C25" s="19" t="s">
        <v>73</v>
      </c>
      <c r="D25" s="2">
        <v>12455.77</v>
      </c>
      <c r="E25">
        <v>17459</v>
      </c>
      <c r="F25">
        <v>4898</v>
      </c>
      <c r="G25" s="2">
        <v>1362.86</v>
      </c>
      <c r="H25" s="16">
        <v>1806.12</v>
      </c>
      <c r="I25" s="7">
        <f t="shared" si="0"/>
        <v>0.71342974969929551</v>
      </c>
      <c r="J25" s="3">
        <f t="shared" si="1"/>
        <v>0.10941595742374818</v>
      </c>
      <c r="K25" s="2">
        <f t="shared" si="2"/>
        <v>0.10344922389598488</v>
      </c>
      <c r="L25" s="4">
        <f t="shared" si="3"/>
        <v>0.28054298642533937</v>
      </c>
      <c r="M25" s="3">
        <f t="shared" si="7"/>
        <v>0.14500267747397391</v>
      </c>
      <c r="N25" t="str">
        <f t="shared" si="4"/>
        <v>Needs Optimization</v>
      </c>
      <c r="O25" t="str">
        <f t="shared" si="5"/>
        <v>NO</v>
      </c>
      <c r="P25" s="8" t="str">
        <f t="shared" si="6"/>
        <v>NO</v>
      </c>
    </row>
    <row r="26" spans="1:16" x14ac:dyDescent="0.25">
      <c r="A26" s="15" t="s">
        <v>4</v>
      </c>
      <c r="B26" s="19" t="s">
        <v>17</v>
      </c>
      <c r="C26" s="19" t="s">
        <v>74</v>
      </c>
      <c r="D26" s="2">
        <v>18476.32</v>
      </c>
      <c r="E26">
        <v>735</v>
      </c>
      <c r="F26">
        <v>94</v>
      </c>
      <c r="G26" s="2">
        <v>79.27</v>
      </c>
      <c r="H26" s="16">
        <v>189.18</v>
      </c>
      <c r="I26" s="7">
        <f t="shared" si="0"/>
        <v>25.137850340136055</v>
      </c>
      <c r="J26" s="3">
        <f t="shared" si="1"/>
        <v>4.2903565212120158E-3</v>
      </c>
      <c r="K26" s="2">
        <f t="shared" si="2"/>
        <v>0.25738775510204082</v>
      </c>
      <c r="L26" s="4">
        <f t="shared" si="3"/>
        <v>0.12789115646258503</v>
      </c>
      <c r="M26" s="3">
        <f t="shared" si="7"/>
        <v>1.0239051932419443E-2</v>
      </c>
      <c r="N26" t="str">
        <f t="shared" si="4"/>
        <v>Needs Optimization</v>
      </c>
      <c r="O26" t="str">
        <f t="shared" si="5"/>
        <v>NO</v>
      </c>
      <c r="P26" s="8" t="str">
        <f t="shared" si="6"/>
        <v>NO</v>
      </c>
    </row>
    <row r="27" spans="1:16" x14ac:dyDescent="0.25">
      <c r="A27" s="15" t="s">
        <v>9</v>
      </c>
      <c r="B27" s="19" t="s">
        <v>17</v>
      </c>
      <c r="C27" s="19" t="s">
        <v>75</v>
      </c>
      <c r="D27" s="2">
        <v>16396.37</v>
      </c>
      <c r="E27">
        <v>9625</v>
      </c>
      <c r="F27">
        <v>3538</v>
      </c>
      <c r="G27" s="2">
        <v>1145.57</v>
      </c>
      <c r="H27" s="16">
        <v>2775.28</v>
      </c>
      <c r="I27" s="7">
        <f t="shared" si="0"/>
        <v>1.7035189610389609</v>
      </c>
      <c r="J27" s="3">
        <f t="shared" si="1"/>
        <v>6.9867293797346602E-2</v>
      </c>
      <c r="K27" s="2">
        <f t="shared" si="2"/>
        <v>0.28834077922077922</v>
      </c>
      <c r="L27" s="4">
        <f t="shared" si="3"/>
        <v>0.36758441558441557</v>
      </c>
      <c r="M27" s="3">
        <f t="shared" si="7"/>
        <v>0.16926185491056864</v>
      </c>
      <c r="N27" t="str">
        <f t="shared" si="4"/>
        <v>Needs Optimization</v>
      </c>
      <c r="O27" t="str">
        <f t="shared" si="5"/>
        <v>NO</v>
      </c>
      <c r="P27" s="8" t="str">
        <f t="shared" si="6"/>
        <v>NO</v>
      </c>
    </row>
    <row r="28" spans="1:16" x14ac:dyDescent="0.25">
      <c r="A28" s="15" t="s">
        <v>27</v>
      </c>
      <c r="B28" s="19" t="s">
        <v>18</v>
      </c>
      <c r="C28" s="19" t="s">
        <v>76</v>
      </c>
      <c r="D28" s="2">
        <v>15234.79</v>
      </c>
      <c r="E28">
        <v>15998</v>
      </c>
      <c r="F28">
        <v>6767</v>
      </c>
      <c r="G28" s="2">
        <v>1822.74</v>
      </c>
      <c r="H28" s="16">
        <v>3312.4</v>
      </c>
      <c r="I28" s="7">
        <f t="shared" si="0"/>
        <v>0.95229341167645964</v>
      </c>
      <c r="J28" s="3">
        <f t="shared" si="1"/>
        <v>0.11964326387170417</v>
      </c>
      <c r="K28" s="2">
        <f t="shared" si="2"/>
        <v>0.20705088136017002</v>
      </c>
      <c r="L28" s="4">
        <f t="shared" si="3"/>
        <v>0.42299037379672461</v>
      </c>
      <c r="M28" s="3">
        <f t="shared" si="7"/>
        <v>0.21742341049663302</v>
      </c>
      <c r="N28" t="str">
        <f t="shared" si="4"/>
        <v>Needs Optimization</v>
      </c>
      <c r="O28" t="str">
        <f t="shared" si="5"/>
        <v>NO</v>
      </c>
      <c r="P28" s="8" t="str">
        <f t="shared" si="6"/>
        <v>NO</v>
      </c>
    </row>
    <row r="29" spans="1:16" x14ac:dyDescent="0.25">
      <c r="A29" s="15" t="s">
        <v>28</v>
      </c>
      <c r="B29" s="19" t="s">
        <v>22</v>
      </c>
      <c r="C29" s="19" t="s">
        <v>77</v>
      </c>
      <c r="D29" s="2">
        <v>15076.69</v>
      </c>
      <c r="E29">
        <v>2275</v>
      </c>
      <c r="F29">
        <v>840</v>
      </c>
      <c r="G29" s="2">
        <v>752.28</v>
      </c>
      <c r="H29" s="16">
        <v>1341.42</v>
      </c>
      <c r="I29" s="7">
        <f t="shared" si="0"/>
        <v>6.6271164835164837</v>
      </c>
      <c r="J29" s="3">
        <f t="shared" si="1"/>
        <v>4.9896893814225796E-2</v>
      </c>
      <c r="K29" s="2">
        <f t="shared" si="2"/>
        <v>0.58963516483516487</v>
      </c>
      <c r="L29" s="4">
        <f t="shared" si="3"/>
        <v>0.36923076923076925</v>
      </c>
      <c r="M29" s="3">
        <f t="shared" si="7"/>
        <v>8.8973110145529291E-2</v>
      </c>
      <c r="N29" t="str">
        <f t="shared" si="4"/>
        <v>Needs Optimization</v>
      </c>
      <c r="O29" t="str">
        <f t="shared" si="5"/>
        <v>NO</v>
      </c>
      <c r="P29" s="8" t="str">
        <f t="shared" si="6"/>
        <v>NO</v>
      </c>
    </row>
    <row r="30" spans="1:16" x14ac:dyDescent="0.25">
      <c r="A30" s="15" t="s">
        <v>9</v>
      </c>
      <c r="B30" s="19" t="s">
        <v>17</v>
      </c>
      <c r="C30" s="19" t="s">
        <v>78</v>
      </c>
      <c r="D30" s="2">
        <v>8962.3799999999992</v>
      </c>
      <c r="E30">
        <v>6732</v>
      </c>
      <c r="F30">
        <v>2117</v>
      </c>
      <c r="G30" s="2">
        <v>628.26</v>
      </c>
      <c r="H30" s="16">
        <v>1165.52</v>
      </c>
      <c r="I30" s="7">
        <f t="shared" si="0"/>
        <v>1.3313101604278075</v>
      </c>
      <c r="J30" s="3">
        <f t="shared" si="1"/>
        <v>7.0099683343040578E-2</v>
      </c>
      <c r="K30" s="2">
        <f t="shared" si="2"/>
        <v>0.17313131313131314</v>
      </c>
      <c r="L30" s="4">
        <f t="shared" si="3"/>
        <v>0.31446821152703508</v>
      </c>
      <c r="M30" s="3">
        <f t="shared" si="7"/>
        <v>0.13004581372358681</v>
      </c>
      <c r="N30" t="str">
        <f t="shared" si="4"/>
        <v>Needs Optimization</v>
      </c>
      <c r="O30" t="str">
        <f t="shared" si="5"/>
        <v>NO</v>
      </c>
      <c r="P30" s="8" t="str">
        <f t="shared" si="6"/>
        <v>NO</v>
      </c>
    </row>
    <row r="31" spans="1:16" x14ac:dyDescent="0.25">
      <c r="A31" s="15" t="s">
        <v>14</v>
      </c>
      <c r="B31" s="19" t="s">
        <v>22</v>
      </c>
      <c r="C31" s="19" t="s">
        <v>79</v>
      </c>
      <c r="D31" s="2">
        <v>24624.62</v>
      </c>
      <c r="E31">
        <v>18533</v>
      </c>
      <c r="F31">
        <v>2579</v>
      </c>
      <c r="G31" s="2">
        <v>4145.13</v>
      </c>
      <c r="H31" s="16">
        <v>5462.08</v>
      </c>
      <c r="I31" s="7">
        <f t="shared" si="0"/>
        <v>1.328690444072735</v>
      </c>
      <c r="J31" s="3">
        <f t="shared" si="1"/>
        <v>0.16833274990639452</v>
      </c>
      <c r="K31" s="2">
        <f t="shared" si="2"/>
        <v>0.29472184751524305</v>
      </c>
      <c r="L31" s="4">
        <f t="shared" si="3"/>
        <v>0.13915717908595479</v>
      </c>
      <c r="M31" s="3">
        <f t="shared" si="7"/>
        <v>0.22181377824307544</v>
      </c>
      <c r="N31" t="str">
        <f t="shared" si="4"/>
        <v>Needs Optimization</v>
      </c>
      <c r="O31" t="str">
        <f t="shared" si="5"/>
        <v>NO</v>
      </c>
      <c r="P31" s="8" t="str">
        <f t="shared" si="6"/>
        <v>NO</v>
      </c>
    </row>
    <row r="32" spans="1:16" x14ac:dyDescent="0.25">
      <c r="A32" s="15" t="s">
        <v>5</v>
      </c>
      <c r="B32" s="19" t="s">
        <v>17</v>
      </c>
      <c r="C32" s="19" t="s">
        <v>80</v>
      </c>
      <c r="D32" s="2">
        <v>12888</v>
      </c>
      <c r="E32">
        <v>13748</v>
      </c>
      <c r="F32">
        <v>5357</v>
      </c>
      <c r="G32" s="2">
        <v>16130.78</v>
      </c>
      <c r="H32" s="16">
        <v>39953.79</v>
      </c>
      <c r="I32" s="7">
        <f t="shared" si="0"/>
        <v>0.93744544661041607</v>
      </c>
      <c r="J32" s="3">
        <f t="shared" si="1"/>
        <v>1.2516123525760399</v>
      </c>
      <c r="K32" s="2">
        <f t="shared" si="2"/>
        <v>2.9061528949665405</v>
      </c>
      <c r="L32" s="4">
        <f t="shared" si="3"/>
        <v>0.38965667733488507</v>
      </c>
      <c r="M32" s="3">
        <f t="shared" si="7"/>
        <v>3.1000768156424581</v>
      </c>
      <c r="N32" t="str">
        <f t="shared" si="4"/>
        <v>Profitable</v>
      </c>
      <c r="O32" t="str">
        <f t="shared" si="5"/>
        <v>YES</v>
      </c>
      <c r="P32" s="8" t="str">
        <f t="shared" si="6"/>
        <v>YES</v>
      </c>
    </row>
    <row r="33" spans="1:16" x14ac:dyDescent="0.25">
      <c r="A33" s="15" t="s">
        <v>25</v>
      </c>
      <c r="B33" s="19" t="s">
        <v>22</v>
      </c>
      <c r="C33" s="19" t="s">
        <v>81</v>
      </c>
      <c r="D33" s="2">
        <v>9425.69</v>
      </c>
      <c r="E33">
        <v>15409</v>
      </c>
      <c r="F33">
        <v>3299</v>
      </c>
      <c r="G33" s="2">
        <v>7039.98</v>
      </c>
      <c r="H33" s="16">
        <v>15769.79</v>
      </c>
      <c r="I33" s="7">
        <f t="shared" si="0"/>
        <v>0.61170030501654882</v>
      </c>
      <c r="J33" s="3">
        <f t="shared" si="1"/>
        <v>0.74689280042097705</v>
      </c>
      <c r="K33" s="2">
        <f t="shared" si="2"/>
        <v>1.0234142384320852</v>
      </c>
      <c r="L33" s="4">
        <f t="shared" si="3"/>
        <v>0.21409565838146538</v>
      </c>
      <c r="M33" s="3">
        <f t="shared" si="7"/>
        <v>1.6730647835861354</v>
      </c>
      <c r="N33" t="str">
        <f t="shared" si="4"/>
        <v>Needs Optimization</v>
      </c>
      <c r="O33" t="str">
        <f t="shared" si="5"/>
        <v>YES</v>
      </c>
      <c r="P33" s="8" t="str">
        <f t="shared" si="6"/>
        <v>NO</v>
      </c>
    </row>
    <row r="34" spans="1:16" x14ac:dyDescent="0.25">
      <c r="A34" s="15" t="s">
        <v>26</v>
      </c>
      <c r="B34" s="19" t="s">
        <v>18</v>
      </c>
      <c r="C34" s="19" t="s">
        <v>82</v>
      </c>
      <c r="D34" s="2">
        <v>15626.8</v>
      </c>
      <c r="E34">
        <v>6722</v>
      </c>
      <c r="F34">
        <v>1469</v>
      </c>
      <c r="G34" s="2">
        <v>3458.84</v>
      </c>
      <c r="H34" s="16">
        <v>6746.93</v>
      </c>
      <c r="I34" s="7">
        <f t="shared" si="0"/>
        <v>2.3247247842903898</v>
      </c>
      <c r="J34" s="3">
        <f t="shared" si="1"/>
        <v>0.22134026160186349</v>
      </c>
      <c r="K34" s="2">
        <f t="shared" si="2"/>
        <v>1.0037087176435584</v>
      </c>
      <c r="L34" s="4">
        <f t="shared" si="3"/>
        <v>0.21853614995537043</v>
      </c>
      <c r="M34" s="3">
        <f t="shared" si="7"/>
        <v>0.43175378196431768</v>
      </c>
      <c r="N34" t="str">
        <f t="shared" si="4"/>
        <v>Needs Optimization</v>
      </c>
      <c r="O34" t="str">
        <f t="shared" si="5"/>
        <v>NO</v>
      </c>
      <c r="P34" s="8" t="str">
        <f t="shared" si="6"/>
        <v>NO</v>
      </c>
    </row>
    <row r="35" spans="1:16" x14ac:dyDescent="0.25">
      <c r="A35" s="15" t="s">
        <v>6</v>
      </c>
      <c r="B35" s="19" t="s">
        <v>17</v>
      </c>
      <c r="C35" s="19" t="s">
        <v>83</v>
      </c>
      <c r="D35" s="2">
        <v>3669.87</v>
      </c>
      <c r="E35">
        <v>10579</v>
      </c>
      <c r="F35">
        <v>3575</v>
      </c>
      <c r="G35" s="2">
        <v>10598.65</v>
      </c>
      <c r="H35" s="16">
        <v>19363.57</v>
      </c>
      <c r="I35" s="7">
        <f t="shared" si="0"/>
        <v>0.34690140845070422</v>
      </c>
      <c r="J35" s="3">
        <f t="shared" si="1"/>
        <v>2.8880178316943108</v>
      </c>
      <c r="K35" s="2">
        <f t="shared" si="2"/>
        <v>1.8303781075716041</v>
      </c>
      <c r="L35" s="4">
        <f t="shared" si="3"/>
        <v>0.33793364212118349</v>
      </c>
      <c r="M35" s="3">
        <f t="shared" si="7"/>
        <v>5.2763640128941898</v>
      </c>
      <c r="N35" t="str">
        <f t="shared" si="4"/>
        <v>Profitable</v>
      </c>
      <c r="O35" t="str">
        <f t="shared" si="5"/>
        <v>YES</v>
      </c>
      <c r="P35" s="8" t="str">
        <f t="shared" si="6"/>
        <v>YES</v>
      </c>
    </row>
    <row r="36" spans="1:16" x14ac:dyDescent="0.25">
      <c r="A36" s="15" t="s">
        <v>29</v>
      </c>
      <c r="B36" s="19" t="s">
        <v>17</v>
      </c>
      <c r="C36" s="19" t="s">
        <v>84</v>
      </c>
      <c r="D36" s="2">
        <v>25837.59</v>
      </c>
      <c r="E36">
        <v>2745</v>
      </c>
      <c r="F36">
        <v>927</v>
      </c>
      <c r="G36" s="2">
        <v>884.99</v>
      </c>
      <c r="H36" s="16">
        <v>1277.81</v>
      </c>
      <c r="I36" s="7">
        <f t="shared" ref="I36:I67" si="8">IFERROR(D36/E36,"")</f>
        <v>9.4126010928961747</v>
      </c>
      <c r="J36" s="3">
        <f t="shared" ref="J36:J67" si="9">IFERROR(G36/D36,"")</f>
        <v>3.4252033568146253E-2</v>
      </c>
      <c r="K36" s="2">
        <f t="shared" ref="K36:K67" si="10">IFERROR(H36/E36,"")</f>
        <v>0.46550455373406191</v>
      </c>
      <c r="L36" s="4">
        <f t="shared" ref="L36:L67" si="11">IFERROR(F36/E36,"")</f>
        <v>0.3377049180327869</v>
      </c>
      <c r="M36" s="3">
        <f t="shared" si="7"/>
        <v>4.9455463919041986E-2</v>
      </c>
      <c r="N36" t="str">
        <f t="shared" ref="N36:N67" si="12">IF(J36&gt;1,"Profitable",IF(J36&gt;=0.8,"Breakeven","Needs Optimization"))</f>
        <v>Needs Optimization</v>
      </c>
      <c r="O36" t="str">
        <f t="shared" ref="O36:O67" si="13">IF(K36&gt;I36,"YES","NO")</f>
        <v>NO</v>
      </c>
      <c r="P36" s="8" t="str">
        <f t="shared" ref="P36:P67" si="14">IF(AND(N36="Profitable",O36="YES"),"YES","NO")</f>
        <v>NO</v>
      </c>
    </row>
    <row r="37" spans="1:16" x14ac:dyDescent="0.25">
      <c r="A37" s="15" t="s">
        <v>27</v>
      </c>
      <c r="B37" s="19" t="s">
        <v>17</v>
      </c>
      <c r="C37" s="19" t="s">
        <v>85</v>
      </c>
      <c r="D37" s="2">
        <v>18209.73</v>
      </c>
      <c r="E37">
        <v>1802</v>
      </c>
      <c r="F37">
        <v>626</v>
      </c>
      <c r="G37" s="2">
        <v>747.83</v>
      </c>
      <c r="H37" s="16">
        <v>1441.32</v>
      </c>
      <c r="I37" s="7">
        <f t="shared" si="8"/>
        <v>10.105288568257491</v>
      </c>
      <c r="J37" s="3">
        <f t="shared" si="9"/>
        <v>4.1067605066082806E-2</v>
      </c>
      <c r="K37" s="2">
        <f t="shared" si="10"/>
        <v>0.79984461709211985</v>
      </c>
      <c r="L37" s="4">
        <f t="shared" si="11"/>
        <v>0.34739178690344064</v>
      </c>
      <c r="M37" s="3">
        <f t="shared" si="7"/>
        <v>7.9151091202340734E-2</v>
      </c>
      <c r="N37" t="str">
        <f t="shared" si="12"/>
        <v>Needs Optimization</v>
      </c>
      <c r="O37" t="str">
        <f t="shared" si="13"/>
        <v>NO</v>
      </c>
      <c r="P37" s="8" t="str">
        <f t="shared" si="14"/>
        <v>NO</v>
      </c>
    </row>
    <row r="38" spans="1:16" x14ac:dyDescent="0.25">
      <c r="A38" s="15" t="s">
        <v>13</v>
      </c>
      <c r="B38" s="19" t="s">
        <v>17</v>
      </c>
      <c r="C38" s="19" t="s">
        <v>86</v>
      </c>
      <c r="D38" s="2">
        <v>20752.330000000002</v>
      </c>
      <c r="E38">
        <v>10795</v>
      </c>
      <c r="F38">
        <v>2110</v>
      </c>
      <c r="G38" s="2">
        <v>2715.82</v>
      </c>
      <c r="H38" s="16">
        <v>4508.25</v>
      </c>
      <c r="I38" s="7">
        <f t="shared" si="8"/>
        <v>1.9224020379805467</v>
      </c>
      <c r="J38" s="3">
        <f t="shared" si="9"/>
        <v>0.13086819648685233</v>
      </c>
      <c r="K38" s="2">
        <f t="shared" si="10"/>
        <v>0.41762389995368226</v>
      </c>
      <c r="L38" s="4">
        <f t="shared" si="11"/>
        <v>0.19546086150995831</v>
      </c>
      <c r="M38" s="3">
        <f t="shared" si="7"/>
        <v>0.21724066646974097</v>
      </c>
      <c r="N38" t="str">
        <f t="shared" si="12"/>
        <v>Needs Optimization</v>
      </c>
      <c r="O38" t="str">
        <f t="shared" si="13"/>
        <v>NO</v>
      </c>
      <c r="P38" s="8" t="str">
        <f t="shared" si="14"/>
        <v>NO</v>
      </c>
    </row>
    <row r="39" spans="1:16" x14ac:dyDescent="0.25">
      <c r="A39" s="15" t="s">
        <v>6</v>
      </c>
      <c r="B39" s="19" t="s">
        <v>17</v>
      </c>
      <c r="C39" s="19" t="s">
        <v>87</v>
      </c>
      <c r="D39" s="2">
        <v>5533.36</v>
      </c>
      <c r="E39">
        <v>19681</v>
      </c>
      <c r="F39">
        <v>6284</v>
      </c>
      <c r="G39" s="2">
        <v>9730.89</v>
      </c>
      <c r="H39" s="16">
        <v>18845.509999999998</v>
      </c>
      <c r="I39" s="7">
        <f t="shared" si="8"/>
        <v>0.28115238046847213</v>
      </c>
      <c r="J39" s="3">
        <f t="shared" si="9"/>
        <v>1.7585861031995027</v>
      </c>
      <c r="K39" s="2">
        <f t="shared" si="10"/>
        <v>0.95754839693105021</v>
      </c>
      <c r="L39" s="4">
        <f t="shared" si="11"/>
        <v>0.31929271886591126</v>
      </c>
      <c r="M39" s="3">
        <f t="shared" si="7"/>
        <v>3.4057986467535093</v>
      </c>
      <c r="N39" t="str">
        <f t="shared" si="12"/>
        <v>Profitable</v>
      </c>
      <c r="O39" t="str">
        <f t="shared" si="13"/>
        <v>YES</v>
      </c>
      <c r="P39" s="8" t="str">
        <f t="shared" si="14"/>
        <v>YES</v>
      </c>
    </row>
    <row r="40" spans="1:16" x14ac:dyDescent="0.25">
      <c r="A40" s="15" t="s">
        <v>21</v>
      </c>
      <c r="B40" s="19" t="s">
        <v>17</v>
      </c>
      <c r="C40" s="19" t="s">
        <v>88</v>
      </c>
      <c r="D40" s="2">
        <v>26619.57</v>
      </c>
      <c r="E40">
        <v>12608</v>
      </c>
      <c r="F40">
        <v>2698</v>
      </c>
      <c r="G40" s="2">
        <v>3189.37</v>
      </c>
      <c r="H40" s="16">
        <v>5303.99</v>
      </c>
      <c r="I40" s="7">
        <f t="shared" si="8"/>
        <v>2.1113237626903554</v>
      </c>
      <c r="J40" s="3">
        <f t="shared" si="9"/>
        <v>0.11981297969877049</v>
      </c>
      <c r="K40" s="2">
        <f t="shared" si="10"/>
        <v>0.4206844860406091</v>
      </c>
      <c r="L40" s="4">
        <f t="shared" si="11"/>
        <v>0.21399111675126903</v>
      </c>
      <c r="M40" s="3">
        <f t="shared" si="7"/>
        <v>0.19925152810507454</v>
      </c>
      <c r="N40" t="str">
        <f t="shared" si="12"/>
        <v>Needs Optimization</v>
      </c>
      <c r="O40" t="str">
        <f t="shared" si="13"/>
        <v>NO</v>
      </c>
      <c r="P40" s="8" t="str">
        <f t="shared" si="14"/>
        <v>NO</v>
      </c>
    </row>
    <row r="41" spans="1:16" x14ac:dyDescent="0.25">
      <c r="A41" s="15" t="s">
        <v>7</v>
      </c>
      <c r="B41" s="19" t="s">
        <v>18</v>
      </c>
      <c r="C41" s="19" t="s">
        <v>89</v>
      </c>
      <c r="D41" s="2">
        <v>2219.0500000000002</v>
      </c>
      <c r="E41">
        <v>18673</v>
      </c>
      <c r="F41">
        <v>4103</v>
      </c>
      <c r="G41" s="2">
        <v>10317.129999999999</v>
      </c>
      <c r="H41" s="16">
        <v>15074.87</v>
      </c>
      <c r="I41" s="7">
        <f>IFERROR(D41/E41,"")</f>
        <v>0.11883735875328015</v>
      </c>
      <c r="J41" s="3">
        <f t="shared" si="9"/>
        <v>4.6493454406164796</v>
      </c>
      <c r="K41" s="2">
        <f t="shared" si="10"/>
        <v>0.80730841321694424</v>
      </c>
      <c r="L41" s="4">
        <f t="shared" si="11"/>
        <v>0.2197290205108981</v>
      </c>
      <c r="M41" s="3">
        <f t="shared" si="7"/>
        <v>6.7933890628872708</v>
      </c>
      <c r="N41" t="str">
        <f t="shared" si="12"/>
        <v>Profitable</v>
      </c>
      <c r="O41" t="str">
        <f t="shared" si="13"/>
        <v>YES</v>
      </c>
      <c r="P41" s="8" t="str">
        <f t="shared" si="14"/>
        <v>YES</v>
      </c>
    </row>
    <row r="42" spans="1:16" x14ac:dyDescent="0.25">
      <c r="A42" s="15" t="s">
        <v>24</v>
      </c>
      <c r="B42" s="19" t="s">
        <v>17</v>
      </c>
      <c r="C42" s="19" t="s">
        <v>90</v>
      </c>
      <c r="D42" s="2">
        <v>22787.67</v>
      </c>
      <c r="E42">
        <v>5593</v>
      </c>
      <c r="F42">
        <v>1168</v>
      </c>
      <c r="G42" s="2">
        <v>2193.0300000000002</v>
      </c>
      <c r="H42" s="16">
        <v>3386.73</v>
      </c>
      <c r="I42" s="7">
        <f t="shared" si="8"/>
        <v>4.0743196853209369</v>
      </c>
      <c r="J42" s="3">
        <f t="shared" si="9"/>
        <v>9.6237570580932602E-2</v>
      </c>
      <c r="K42" s="2">
        <f t="shared" si="10"/>
        <v>0.60553012694439479</v>
      </c>
      <c r="L42" s="4">
        <f t="shared" si="11"/>
        <v>0.20883246915787593</v>
      </c>
      <c r="M42" s="3">
        <f t="shared" si="7"/>
        <v>0.14862116223378696</v>
      </c>
      <c r="N42" t="str">
        <f t="shared" si="12"/>
        <v>Needs Optimization</v>
      </c>
      <c r="O42" t="str">
        <f t="shared" si="13"/>
        <v>NO</v>
      </c>
      <c r="P42" s="8" t="str">
        <f t="shared" si="14"/>
        <v>NO</v>
      </c>
    </row>
    <row r="43" spans="1:16" x14ac:dyDescent="0.25">
      <c r="A43" s="15" t="s">
        <v>7</v>
      </c>
      <c r="B43" s="19" t="s">
        <v>22</v>
      </c>
      <c r="C43" s="19" t="s">
        <v>91</v>
      </c>
      <c r="D43" s="2">
        <v>16151.45</v>
      </c>
      <c r="E43">
        <v>8728</v>
      </c>
      <c r="F43">
        <v>4033</v>
      </c>
      <c r="G43" s="2">
        <v>3111.65</v>
      </c>
      <c r="H43" s="16">
        <v>5626.77</v>
      </c>
      <c r="I43" s="7">
        <f t="shared" si="8"/>
        <v>1.8505327681026582</v>
      </c>
      <c r="J43" s="3">
        <f t="shared" si="9"/>
        <v>0.19265452946949035</v>
      </c>
      <c r="K43" s="2">
        <f t="shared" si="10"/>
        <v>0.64468033913840517</v>
      </c>
      <c r="L43" s="4">
        <f t="shared" si="11"/>
        <v>0.46207607699358388</v>
      </c>
      <c r="M43" s="3">
        <f t="shared" si="7"/>
        <v>0.3483755328468961</v>
      </c>
      <c r="N43" t="str">
        <f t="shared" si="12"/>
        <v>Needs Optimization</v>
      </c>
      <c r="O43" t="str">
        <f t="shared" si="13"/>
        <v>NO</v>
      </c>
      <c r="P43" s="8" t="str">
        <f t="shared" si="14"/>
        <v>NO</v>
      </c>
    </row>
    <row r="44" spans="1:16" x14ac:dyDescent="0.25">
      <c r="A44" s="15" t="s">
        <v>13</v>
      </c>
      <c r="B44" s="19" t="s">
        <v>17</v>
      </c>
      <c r="C44" s="19" t="s">
        <v>92</v>
      </c>
      <c r="D44" s="2">
        <v>2099.2800000000002</v>
      </c>
      <c r="E44">
        <v>4786</v>
      </c>
      <c r="F44">
        <v>1698</v>
      </c>
      <c r="G44" s="2">
        <v>1780.49</v>
      </c>
      <c r="H44" s="16">
        <v>3493.35</v>
      </c>
      <c r="I44" s="7">
        <f t="shared" si="8"/>
        <v>0.43862933556205602</v>
      </c>
      <c r="J44" s="3">
        <f t="shared" si="9"/>
        <v>0.84814317289737429</v>
      </c>
      <c r="K44" s="2">
        <f t="shared" si="10"/>
        <v>0.72991015461763475</v>
      </c>
      <c r="L44" s="4">
        <f t="shared" si="11"/>
        <v>0.35478478896782284</v>
      </c>
      <c r="M44" s="3">
        <f t="shared" si="7"/>
        <v>1.6640705384703325</v>
      </c>
      <c r="N44" t="str">
        <f t="shared" si="12"/>
        <v>Breakeven</v>
      </c>
      <c r="O44" t="str">
        <f t="shared" si="13"/>
        <v>YES</v>
      </c>
      <c r="P44" s="8" t="str">
        <f t="shared" si="14"/>
        <v>NO</v>
      </c>
    </row>
    <row r="45" spans="1:16" x14ac:dyDescent="0.25">
      <c r="A45" s="15" t="s">
        <v>28</v>
      </c>
      <c r="B45" s="19" t="s">
        <v>18</v>
      </c>
      <c r="C45" s="19" t="s">
        <v>93</v>
      </c>
      <c r="D45" s="2">
        <v>2270.75</v>
      </c>
      <c r="E45">
        <v>2965</v>
      </c>
      <c r="F45">
        <v>1417</v>
      </c>
      <c r="G45" s="2">
        <v>1105.17</v>
      </c>
      <c r="H45" s="16">
        <v>1484.5</v>
      </c>
      <c r="I45" s="7">
        <f t="shared" si="8"/>
        <v>0.7658516020236088</v>
      </c>
      <c r="J45" s="3">
        <f t="shared" si="9"/>
        <v>0.48669822745788838</v>
      </c>
      <c r="K45" s="2">
        <f t="shared" si="10"/>
        <v>0.50067453625632374</v>
      </c>
      <c r="L45" s="4">
        <f t="shared" si="11"/>
        <v>0.47790893760539627</v>
      </c>
      <c r="M45" s="3">
        <f t="shared" si="7"/>
        <v>0.65374876142243743</v>
      </c>
      <c r="N45" t="str">
        <f t="shared" si="12"/>
        <v>Needs Optimization</v>
      </c>
      <c r="O45" t="str">
        <f t="shared" si="13"/>
        <v>NO</v>
      </c>
      <c r="P45" s="8" t="str">
        <f t="shared" si="14"/>
        <v>NO</v>
      </c>
    </row>
    <row r="46" spans="1:16" x14ac:dyDescent="0.25">
      <c r="A46" s="15" t="s">
        <v>21</v>
      </c>
      <c r="B46" s="19" t="s">
        <v>18</v>
      </c>
      <c r="C46" s="19" t="s">
        <v>94</v>
      </c>
      <c r="D46" s="2">
        <v>17470.7</v>
      </c>
      <c r="E46">
        <v>14583</v>
      </c>
      <c r="F46">
        <v>2201</v>
      </c>
      <c r="G46" s="2">
        <v>3019.98</v>
      </c>
      <c r="H46" s="16">
        <v>6811.1</v>
      </c>
      <c r="I46" s="7">
        <f t="shared" si="8"/>
        <v>1.198018240416924</v>
      </c>
      <c r="J46" s="3">
        <f t="shared" si="9"/>
        <v>0.17285970224432906</v>
      </c>
      <c r="K46" s="2">
        <f t="shared" si="10"/>
        <v>0.46705753274360562</v>
      </c>
      <c r="L46" s="4">
        <f t="shared" si="11"/>
        <v>0.15092916409517931</v>
      </c>
      <c r="M46" s="3">
        <f t="shared" si="7"/>
        <v>0.38985844871699477</v>
      </c>
      <c r="N46" t="str">
        <f t="shared" si="12"/>
        <v>Needs Optimization</v>
      </c>
      <c r="O46" t="str">
        <f t="shared" si="13"/>
        <v>NO</v>
      </c>
      <c r="P46" s="8" t="str">
        <f t="shared" si="14"/>
        <v>NO</v>
      </c>
    </row>
    <row r="47" spans="1:16" x14ac:dyDescent="0.25">
      <c r="A47" s="15" t="s">
        <v>23</v>
      </c>
      <c r="B47" s="19" t="s">
        <v>22</v>
      </c>
      <c r="C47" s="19" t="s">
        <v>95</v>
      </c>
      <c r="D47" s="2">
        <v>7882.14</v>
      </c>
      <c r="E47">
        <v>8676</v>
      </c>
      <c r="F47">
        <v>3182</v>
      </c>
      <c r="G47" s="2">
        <v>3293.33</v>
      </c>
      <c r="H47" s="16">
        <v>7738.19</v>
      </c>
      <c r="I47" s="7">
        <f t="shared" si="8"/>
        <v>0.90849930843706783</v>
      </c>
      <c r="J47" s="3">
        <f t="shared" si="9"/>
        <v>0.41782180981307104</v>
      </c>
      <c r="K47" s="2">
        <f t="shared" si="10"/>
        <v>0.89190756108805902</v>
      </c>
      <c r="L47" s="4">
        <f t="shared" si="11"/>
        <v>0.36675887505763022</v>
      </c>
      <c r="M47" s="3">
        <f t="shared" si="7"/>
        <v>0.98173719319880126</v>
      </c>
      <c r="N47" t="str">
        <f t="shared" si="12"/>
        <v>Needs Optimization</v>
      </c>
      <c r="O47" t="str">
        <f t="shared" si="13"/>
        <v>NO</v>
      </c>
      <c r="P47" s="8" t="str">
        <f t="shared" si="14"/>
        <v>NO</v>
      </c>
    </row>
    <row r="48" spans="1:16" x14ac:dyDescent="0.25">
      <c r="A48" s="15" t="s">
        <v>7</v>
      </c>
      <c r="B48" s="19" t="s">
        <v>22</v>
      </c>
      <c r="C48" s="19" t="s">
        <v>96</v>
      </c>
      <c r="D48" s="2">
        <v>5033.6899999999996</v>
      </c>
      <c r="E48">
        <v>8161</v>
      </c>
      <c r="F48">
        <v>2355</v>
      </c>
      <c r="G48" s="2">
        <v>5618.35</v>
      </c>
      <c r="H48" s="16">
        <v>9515.2800000000007</v>
      </c>
      <c r="I48" s="7">
        <f t="shared" si="8"/>
        <v>0.61679818649675278</v>
      </c>
      <c r="J48" s="3">
        <f t="shared" si="9"/>
        <v>1.1161493854408995</v>
      </c>
      <c r="K48" s="2">
        <f t="shared" si="10"/>
        <v>1.1659453498345791</v>
      </c>
      <c r="L48" s="4">
        <f t="shared" si="11"/>
        <v>0.28856757750275702</v>
      </c>
      <c r="M48" s="3">
        <f t="shared" si="7"/>
        <v>1.8903190303733446</v>
      </c>
      <c r="N48" t="str">
        <f t="shared" si="12"/>
        <v>Profitable</v>
      </c>
      <c r="O48" t="str">
        <f t="shared" si="13"/>
        <v>YES</v>
      </c>
      <c r="P48" s="8" t="str">
        <f t="shared" si="14"/>
        <v>YES</v>
      </c>
    </row>
    <row r="49" spans="1:16" x14ac:dyDescent="0.25">
      <c r="A49" s="15" t="s">
        <v>25</v>
      </c>
      <c r="B49" s="19" t="s">
        <v>17</v>
      </c>
      <c r="C49" s="19" t="s">
        <v>97</v>
      </c>
      <c r="D49" s="2">
        <v>22623.81</v>
      </c>
      <c r="E49">
        <v>11385</v>
      </c>
      <c r="F49">
        <v>4701</v>
      </c>
      <c r="G49" s="2">
        <v>6233.48</v>
      </c>
      <c r="H49" s="16">
        <v>13601.88</v>
      </c>
      <c r="I49" s="7">
        <f t="shared" si="8"/>
        <v>1.9871594202898553</v>
      </c>
      <c r="J49" s="3">
        <f t="shared" si="9"/>
        <v>0.27552742000573727</v>
      </c>
      <c r="K49" s="2">
        <f t="shared" si="10"/>
        <v>1.1947193675889327</v>
      </c>
      <c r="L49" s="4">
        <f t="shared" si="11"/>
        <v>0.4129117259552042</v>
      </c>
      <c r="M49" s="3">
        <f t="shared" si="7"/>
        <v>0.60121968846096208</v>
      </c>
      <c r="N49" t="str">
        <f t="shared" si="12"/>
        <v>Needs Optimization</v>
      </c>
      <c r="O49" t="str">
        <f t="shared" si="13"/>
        <v>NO</v>
      </c>
      <c r="P49" s="8" t="str">
        <f t="shared" si="14"/>
        <v>NO</v>
      </c>
    </row>
    <row r="50" spans="1:16" x14ac:dyDescent="0.25">
      <c r="A50" s="15" t="s">
        <v>30</v>
      </c>
      <c r="B50" s="19" t="s">
        <v>22</v>
      </c>
      <c r="C50" s="19" t="s">
        <v>98</v>
      </c>
      <c r="D50" s="2">
        <v>6457.54</v>
      </c>
      <c r="E50">
        <v>4042</v>
      </c>
      <c r="F50">
        <v>1022</v>
      </c>
      <c r="G50" s="2">
        <v>347.11</v>
      </c>
      <c r="H50" s="16">
        <v>534.37</v>
      </c>
      <c r="I50" s="7">
        <f t="shared" si="8"/>
        <v>1.5976100940128648</v>
      </c>
      <c r="J50" s="3">
        <f t="shared" si="9"/>
        <v>5.375266742443717E-2</v>
      </c>
      <c r="K50" s="2">
        <f t="shared" si="10"/>
        <v>0.13220435428005939</v>
      </c>
      <c r="L50" s="4">
        <f t="shared" si="11"/>
        <v>0.25284512617516081</v>
      </c>
      <c r="M50" s="3">
        <f t="shared" si="7"/>
        <v>8.2751326356476321E-2</v>
      </c>
      <c r="N50" t="str">
        <f t="shared" si="12"/>
        <v>Needs Optimization</v>
      </c>
      <c r="O50" t="str">
        <f t="shared" si="13"/>
        <v>NO</v>
      </c>
      <c r="P50" s="8" t="str">
        <f t="shared" si="14"/>
        <v>NO</v>
      </c>
    </row>
    <row r="51" spans="1:16" x14ac:dyDescent="0.25">
      <c r="A51" s="15" t="s">
        <v>16</v>
      </c>
      <c r="B51" s="19" t="s">
        <v>22</v>
      </c>
      <c r="C51" s="19" t="s">
        <v>99</v>
      </c>
      <c r="D51" s="2">
        <v>10545.34</v>
      </c>
      <c r="E51">
        <v>7957</v>
      </c>
      <c r="F51">
        <v>1505</v>
      </c>
      <c r="G51" s="2">
        <v>1966.48</v>
      </c>
      <c r="H51" s="16">
        <v>3213.86</v>
      </c>
      <c r="I51" s="7">
        <f t="shared" si="8"/>
        <v>1.3252909387960288</v>
      </c>
      <c r="J51" s="3">
        <f t="shared" si="9"/>
        <v>0.1864785772673048</v>
      </c>
      <c r="K51" s="2">
        <f t="shared" si="10"/>
        <v>0.40390348121151187</v>
      </c>
      <c r="L51" s="4">
        <f t="shared" si="11"/>
        <v>0.1891416362950861</v>
      </c>
      <c r="M51" s="3">
        <f t="shared" si="7"/>
        <v>0.30476589659508369</v>
      </c>
      <c r="N51" t="str">
        <f t="shared" si="12"/>
        <v>Needs Optimization</v>
      </c>
      <c r="O51" t="str">
        <f t="shared" si="13"/>
        <v>NO</v>
      </c>
      <c r="P51" s="8" t="str">
        <f t="shared" si="14"/>
        <v>NO</v>
      </c>
    </row>
    <row r="52" spans="1:16" x14ac:dyDescent="0.25">
      <c r="A52" s="15" t="s">
        <v>14</v>
      </c>
      <c r="B52" s="19" t="s">
        <v>22</v>
      </c>
      <c r="C52" s="19" t="s">
        <v>100</v>
      </c>
      <c r="D52" s="2">
        <v>11832.09</v>
      </c>
      <c r="E52">
        <v>17192</v>
      </c>
      <c r="F52">
        <v>4467</v>
      </c>
      <c r="G52" s="2">
        <v>10056.69</v>
      </c>
      <c r="H52" s="16">
        <v>24408.44</v>
      </c>
      <c r="I52" s="7">
        <f t="shared" si="8"/>
        <v>0.68823231735691015</v>
      </c>
      <c r="J52" s="3">
        <f t="shared" si="9"/>
        <v>0.84995043141152582</v>
      </c>
      <c r="K52" s="2">
        <f t="shared" si="10"/>
        <v>1.4197557003257328</v>
      </c>
      <c r="L52" s="4">
        <f t="shared" si="11"/>
        <v>0.25983015355979527</v>
      </c>
      <c r="M52" s="3">
        <f t="shared" si="7"/>
        <v>2.0629018203884519</v>
      </c>
      <c r="N52" t="str">
        <f t="shared" si="12"/>
        <v>Breakeven</v>
      </c>
      <c r="O52" t="str">
        <f t="shared" si="13"/>
        <v>YES</v>
      </c>
      <c r="P52" s="8" t="str">
        <f t="shared" si="14"/>
        <v>NO</v>
      </c>
    </row>
    <row r="53" spans="1:16" x14ac:dyDescent="0.25">
      <c r="A53" s="15" t="s">
        <v>24</v>
      </c>
      <c r="B53" s="19" t="s">
        <v>22</v>
      </c>
      <c r="C53" s="19" t="s">
        <v>101</v>
      </c>
      <c r="D53" s="2">
        <v>6999.9</v>
      </c>
      <c r="E53">
        <v>9198</v>
      </c>
      <c r="F53">
        <v>1060</v>
      </c>
      <c r="G53" s="2">
        <v>1159.72</v>
      </c>
      <c r="H53" s="16">
        <v>2602.08</v>
      </c>
      <c r="I53" s="7">
        <f t="shared" si="8"/>
        <v>0.76102413568166993</v>
      </c>
      <c r="J53" s="3">
        <f t="shared" si="9"/>
        <v>0.1656766525236075</v>
      </c>
      <c r="K53" s="2">
        <f t="shared" si="10"/>
        <v>0.28289628180039139</v>
      </c>
      <c r="L53" s="4">
        <f t="shared" si="11"/>
        <v>0.11524244400956729</v>
      </c>
      <c r="M53" s="3">
        <f t="shared" si="7"/>
        <v>0.37173102472892472</v>
      </c>
      <c r="N53" t="str">
        <f t="shared" si="12"/>
        <v>Needs Optimization</v>
      </c>
      <c r="O53" t="str">
        <f t="shared" si="13"/>
        <v>NO</v>
      </c>
      <c r="P53" s="8" t="str">
        <f t="shared" si="14"/>
        <v>NO</v>
      </c>
    </row>
    <row r="54" spans="1:16" x14ac:dyDescent="0.25">
      <c r="A54" s="15" t="s">
        <v>28</v>
      </c>
      <c r="B54" s="19" t="s">
        <v>18</v>
      </c>
      <c r="C54" s="19" t="s">
        <v>102</v>
      </c>
      <c r="D54" s="2">
        <v>29558.6</v>
      </c>
      <c r="E54">
        <v>4289</v>
      </c>
      <c r="F54">
        <v>1089</v>
      </c>
      <c r="G54" s="2">
        <v>962.96</v>
      </c>
      <c r="H54" s="16">
        <v>2070.89</v>
      </c>
      <c r="I54" s="7">
        <f t="shared" si="8"/>
        <v>6.8917230123571924</v>
      </c>
      <c r="J54" s="3">
        <f t="shared" si="9"/>
        <v>3.2577997604758012E-2</v>
      </c>
      <c r="K54" s="2">
        <f t="shared" si="10"/>
        <v>0.48283749125670317</v>
      </c>
      <c r="L54" s="4">
        <f t="shared" si="11"/>
        <v>0.25390533923991604</v>
      </c>
      <c r="M54" s="3">
        <f t="shared" si="7"/>
        <v>7.0060490009675694E-2</v>
      </c>
      <c r="N54" t="str">
        <f t="shared" si="12"/>
        <v>Needs Optimization</v>
      </c>
      <c r="O54" t="str">
        <f t="shared" si="13"/>
        <v>NO</v>
      </c>
      <c r="P54" s="8" t="str">
        <f t="shared" si="14"/>
        <v>NO</v>
      </c>
    </row>
    <row r="55" spans="1:16" x14ac:dyDescent="0.25">
      <c r="A55" s="15" t="s">
        <v>25</v>
      </c>
      <c r="B55" s="19" t="s">
        <v>18</v>
      </c>
      <c r="C55" s="19" t="s">
        <v>103</v>
      </c>
      <c r="D55" s="2">
        <v>27916.1</v>
      </c>
      <c r="E55">
        <v>18143</v>
      </c>
      <c r="F55">
        <v>6798</v>
      </c>
      <c r="G55" s="2">
        <v>18815.55</v>
      </c>
      <c r="H55" s="16">
        <v>28909</v>
      </c>
      <c r="I55" s="7">
        <f t="shared" si="8"/>
        <v>1.5386705616491207</v>
      </c>
      <c r="J55" s="3">
        <f t="shared" si="9"/>
        <v>0.67400353201199303</v>
      </c>
      <c r="K55" s="2">
        <f t="shared" si="10"/>
        <v>1.5933969023865955</v>
      </c>
      <c r="L55" s="4">
        <f t="shared" si="11"/>
        <v>0.37468996307115693</v>
      </c>
      <c r="M55" s="3">
        <f t="shared" si="7"/>
        <v>1.0355672891270631</v>
      </c>
      <c r="N55" t="str">
        <f t="shared" si="12"/>
        <v>Needs Optimization</v>
      </c>
      <c r="O55" t="str">
        <f t="shared" si="13"/>
        <v>YES</v>
      </c>
      <c r="P55" s="8" t="str">
        <f t="shared" si="14"/>
        <v>NO</v>
      </c>
    </row>
    <row r="56" spans="1:16" x14ac:dyDescent="0.25">
      <c r="A56" s="15" t="s">
        <v>28</v>
      </c>
      <c r="B56" s="19" t="s">
        <v>17</v>
      </c>
      <c r="C56" s="19" t="s">
        <v>104</v>
      </c>
      <c r="D56" s="2">
        <v>28568.49</v>
      </c>
      <c r="E56">
        <v>11319</v>
      </c>
      <c r="F56">
        <v>3953</v>
      </c>
      <c r="G56" s="2">
        <v>2772.58</v>
      </c>
      <c r="H56" s="16">
        <v>6598.9</v>
      </c>
      <c r="I56" s="7">
        <f t="shared" si="8"/>
        <v>2.5239411608799367</v>
      </c>
      <c r="J56" s="3">
        <f t="shared" si="9"/>
        <v>9.7050281621464757E-2</v>
      </c>
      <c r="K56" s="2">
        <f t="shared" si="10"/>
        <v>0.58299319727891152</v>
      </c>
      <c r="L56" s="4">
        <f t="shared" si="11"/>
        <v>0.34923579821539003</v>
      </c>
      <c r="M56" s="3">
        <f t="shared" si="7"/>
        <v>0.2309852568336653</v>
      </c>
      <c r="N56" t="str">
        <f t="shared" si="12"/>
        <v>Needs Optimization</v>
      </c>
      <c r="O56" t="str">
        <f t="shared" si="13"/>
        <v>NO</v>
      </c>
      <c r="P56" s="8" t="str">
        <f t="shared" si="14"/>
        <v>NO</v>
      </c>
    </row>
    <row r="57" spans="1:16" x14ac:dyDescent="0.25">
      <c r="A57" s="15" t="s">
        <v>29</v>
      </c>
      <c r="B57" s="19" t="s">
        <v>22</v>
      </c>
      <c r="C57" s="19" t="s">
        <v>105</v>
      </c>
      <c r="D57" s="2">
        <v>20673</v>
      </c>
      <c r="E57">
        <v>11188</v>
      </c>
      <c r="F57">
        <v>2919</v>
      </c>
      <c r="G57" s="2">
        <v>1134.42</v>
      </c>
      <c r="H57" s="16">
        <v>2047.1</v>
      </c>
      <c r="I57" s="7">
        <f t="shared" si="8"/>
        <v>1.8477833392920986</v>
      </c>
      <c r="J57" s="3">
        <f t="shared" si="9"/>
        <v>5.4874473951530986E-2</v>
      </c>
      <c r="K57" s="2">
        <f t="shared" si="10"/>
        <v>0.18297282803003218</v>
      </c>
      <c r="L57" s="4">
        <f t="shared" si="11"/>
        <v>0.26090454057919199</v>
      </c>
      <c r="M57" s="3">
        <f t="shared" si="7"/>
        <v>9.9022880085135198E-2</v>
      </c>
      <c r="N57" t="str">
        <f t="shared" si="12"/>
        <v>Needs Optimization</v>
      </c>
      <c r="O57" t="str">
        <f t="shared" si="13"/>
        <v>NO</v>
      </c>
      <c r="P57" s="8" t="str">
        <f t="shared" si="14"/>
        <v>NO</v>
      </c>
    </row>
    <row r="58" spans="1:16" x14ac:dyDescent="0.25">
      <c r="A58" s="15" t="s">
        <v>20</v>
      </c>
      <c r="B58" s="19" t="s">
        <v>18</v>
      </c>
      <c r="C58" s="19" t="s">
        <v>106</v>
      </c>
      <c r="D58" s="2">
        <v>22947.77</v>
      </c>
      <c r="E58">
        <v>6202</v>
      </c>
      <c r="F58">
        <v>2147</v>
      </c>
      <c r="G58" s="2">
        <v>1953.84</v>
      </c>
      <c r="H58" s="16">
        <v>2540.94</v>
      </c>
      <c r="I58" s="7">
        <f t="shared" si="8"/>
        <v>3.7000596581747822</v>
      </c>
      <c r="J58" s="3">
        <f t="shared" si="9"/>
        <v>8.5142913668735568E-2</v>
      </c>
      <c r="K58" s="2">
        <f t="shared" si="10"/>
        <v>0.40969687197678167</v>
      </c>
      <c r="L58" s="4">
        <f t="shared" si="11"/>
        <v>0.34617865204772652</v>
      </c>
      <c r="M58" s="3">
        <f t="shared" si="7"/>
        <v>0.11072709897301568</v>
      </c>
      <c r="N58" t="str">
        <f t="shared" si="12"/>
        <v>Needs Optimization</v>
      </c>
      <c r="O58" t="str">
        <f t="shared" si="13"/>
        <v>NO</v>
      </c>
      <c r="P58" s="8" t="str">
        <f t="shared" si="14"/>
        <v>NO</v>
      </c>
    </row>
    <row r="59" spans="1:16" x14ac:dyDescent="0.25">
      <c r="A59" s="15" t="s">
        <v>15</v>
      </c>
      <c r="B59" s="19" t="s">
        <v>17</v>
      </c>
      <c r="C59" s="19" t="s">
        <v>107</v>
      </c>
      <c r="D59" s="2">
        <v>14036.87</v>
      </c>
      <c r="E59">
        <v>19504</v>
      </c>
      <c r="F59">
        <v>6683</v>
      </c>
      <c r="G59" s="2">
        <v>5483.61</v>
      </c>
      <c r="H59" s="16">
        <v>11574.54</v>
      </c>
      <c r="I59" s="7">
        <f t="shared" si="8"/>
        <v>0.71969185808039382</v>
      </c>
      <c r="J59" s="3">
        <f t="shared" si="9"/>
        <v>0.39065760386752885</v>
      </c>
      <c r="K59" s="2">
        <f t="shared" si="10"/>
        <v>0.59344442165709599</v>
      </c>
      <c r="L59" s="4">
        <f t="shared" si="11"/>
        <v>0.34264766201804758</v>
      </c>
      <c r="M59" s="3">
        <f t="shared" si="7"/>
        <v>0.82458126348680294</v>
      </c>
      <c r="N59" t="str">
        <f t="shared" si="12"/>
        <v>Needs Optimization</v>
      </c>
      <c r="O59" t="str">
        <f t="shared" si="13"/>
        <v>NO</v>
      </c>
      <c r="P59" s="8" t="str">
        <f t="shared" si="14"/>
        <v>NO</v>
      </c>
    </row>
    <row r="60" spans="1:16" x14ac:dyDescent="0.25">
      <c r="A60" s="15" t="s">
        <v>29</v>
      </c>
      <c r="B60" s="19" t="s">
        <v>22</v>
      </c>
      <c r="C60" s="19" t="s">
        <v>108</v>
      </c>
      <c r="D60" s="2">
        <v>24224.59</v>
      </c>
      <c r="E60">
        <v>6060</v>
      </c>
      <c r="F60">
        <v>2203</v>
      </c>
      <c r="G60" s="2">
        <v>2242.62</v>
      </c>
      <c r="H60" s="16">
        <v>4581.93</v>
      </c>
      <c r="I60" s="7">
        <f t="shared" si="8"/>
        <v>3.9974570957095712</v>
      </c>
      <c r="J60" s="3">
        <f t="shared" si="9"/>
        <v>9.2576179823889687E-2</v>
      </c>
      <c r="K60" s="2">
        <f t="shared" si="10"/>
        <v>0.75609405940594065</v>
      </c>
      <c r="L60" s="4">
        <f t="shared" si="11"/>
        <v>0.36353135313531354</v>
      </c>
      <c r="M60" s="3">
        <f t="shared" si="7"/>
        <v>0.18914375847021561</v>
      </c>
      <c r="N60" t="str">
        <f t="shared" si="12"/>
        <v>Needs Optimization</v>
      </c>
      <c r="O60" t="str">
        <f t="shared" si="13"/>
        <v>NO</v>
      </c>
      <c r="P60" s="8" t="str">
        <f t="shared" si="14"/>
        <v>NO</v>
      </c>
    </row>
    <row r="61" spans="1:16" x14ac:dyDescent="0.25">
      <c r="A61" s="15" t="s">
        <v>14</v>
      </c>
      <c r="B61" s="19" t="s">
        <v>17</v>
      </c>
      <c r="C61" s="19" t="s">
        <v>109</v>
      </c>
      <c r="D61" s="2">
        <v>20838.28</v>
      </c>
      <c r="E61">
        <v>7861</v>
      </c>
      <c r="F61">
        <v>3322</v>
      </c>
      <c r="G61" s="2">
        <v>646.16</v>
      </c>
      <c r="H61" s="16">
        <v>1602.94</v>
      </c>
      <c r="I61" s="7">
        <f t="shared" si="8"/>
        <v>2.650843404147055</v>
      </c>
      <c r="J61" s="3">
        <f t="shared" si="9"/>
        <v>3.1008317385120079E-2</v>
      </c>
      <c r="K61" s="2">
        <f t="shared" si="10"/>
        <v>0.20391044396387228</v>
      </c>
      <c r="L61" s="4">
        <f t="shared" si="11"/>
        <v>0.42259254547767461</v>
      </c>
      <c r="M61" s="3">
        <f t="shared" si="7"/>
        <v>7.6922855437204993E-2</v>
      </c>
      <c r="N61" t="str">
        <f t="shared" si="12"/>
        <v>Needs Optimization</v>
      </c>
      <c r="O61" t="str">
        <f t="shared" si="13"/>
        <v>NO</v>
      </c>
      <c r="P61" s="8" t="str">
        <f t="shared" si="14"/>
        <v>NO</v>
      </c>
    </row>
    <row r="62" spans="1:16" x14ac:dyDescent="0.25">
      <c r="A62" s="15" t="s">
        <v>11</v>
      </c>
      <c r="B62" s="19" t="s">
        <v>17</v>
      </c>
      <c r="C62" s="19" t="s">
        <v>110</v>
      </c>
      <c r="D62" s="2">
        <v>14751.65</v>
      </c>
      <c r="E62">
        <v>19363</v>
      </c>
      <c r="F62">
        <v>3442</v>
      </c>
      <c r="G62" s="2">
        <v>5465.13</v>
      </c>
      <c r="H62" s="16">
        <v>8704.76</v>
      </c>
      <c r="I62" s="7">
        <f t="shared" si="8"/>
        <v>0.76184733770593394</v>
      </c>
      <c r="J62" s="3">
        <f t="shared" si="9"/>
        <v>0.37047584507495773</v>
      </c>
      <c r="K62" s="2">
        <f t="shared" si="10"/>
        <v>0.44955637039714924</v>
      </c>
      <c r="L62" s="4">
        <f t="shared" si="11"/>
        <v>0.17776171047874814</v>
      </c>
      <c r="M62" s="3">
        <f t="shared" si="7"/>
        <v>0.590087210583223</v>
      </c>
      <c r="N62" t="str">
        <f t="shared" si="12"/>
        <v>Needs Optimization</v>
      </c>
      <c r="O62" t="str">
        <f t="shared" si="13"/>
        <v>NO</v>
      </c>
      <c r="P62" s="8" t="str">
        <f t="shared" si="14"/>
        <v>NO</v>
      </c>
    </row>
    <row r="63" spans="1:16" x14ac:dyDescent="0.25">
      <c r="A63" s="15" t="s">
        <v>7</v>
      </c>
      <c r="B63" s="19" t="s">
        <v>18</v>
      </c>
      <c r="C63" s="19" t="s">
        <v>111</v>
      </c>
      <c r="D63" s="2">
        <v>2155.25</v>
      </c>
      <c r="E63">
        <v>3992</v>
      </c>
      <c r="F63">
        <v>1642</v>
      </c>
      <c r="G63" s="2">
        <v>1650.02</v>
      </c>
      <c r="H63" s="16">
        <v>3522.95</v>
      </c>
      <c r="I63" s="7">
        <f t="shared" si="8"/>
        <v>0.53989228456913829</v>
      </c>
      <c r="J63" s="3">
        <f t="shared" si="9"/>
        <v>0.7655817190581139</v>
      </c>
      <c r="K63" s="2">
        <f t="shared" si="10"/>
        <v>0.88250250501002003</v>
      </c>
      <c r="L63" s="4">
        <f t="shared" si="11"/>
        <v>0.41132264529058116</v>
      </c>
      <c r="M63" s="3">
        <f t="shared" si="7"/>
        <v>1.6345899547616285</v>
      </c>
      <c r="N63" t="str">
        <f t="shared" si="12"/>
        <v>Needs Optimization</v>
      </c>
      <c r="O63" t="str">
        <f t="shared" si="13"/>
        <v>YES</v>
      </c>
      <c r="P63" s="8" t="str">
        <f t="shared" si="14"/>
        <v>NO</v>
      </c>
    </row>
    <row r="64" spans="1:16" x14ac:dyDescent="0.25">
      <c r="A64" s="15" t="s">
        <v>16</v>
      </c>
      <c r="B64" s="19" t="s">
        <v>17</v>
      </c>
      <c r="C64" s="19" t="s">
        <v>112</v>
      </c>
      <c r="D64" s="2">
        <v>17607.36</v>
      </c>
      <c r="E64">
        <v>4476</v>
      </c>
      <c r="F64">
        <v>1264</v>
      </c>
      <c r="G64" s="2">
        <v>2810.98</v>
      </c>
      <c r="H64" s="16">
        <v>6986.61</v>
      </c>
      <c r="I64" s="7">
        <f t="shared" si="8"/>
        <v>3.93372654155496</v>
      </c>
      <c r="J64" s="3">
        <f t="shared" si="9"/>
        <v>0.15964801083183397</v>
      </c>
      <c r="K64" s="2">
        <f t="shared" si="10"/>
        <v>1.5609048257372653</v>
      </c>
      <c r="L64" s="4">
        <f t="shared" si="11"/>
        <v>0.28239499553172476</v>
      </c>
      <c r="M64" s="3">
        <f t="shared" si="7"/>
        <v>0.39680054250040886</v>
      </c>
      <c r="N64" t="str">
        <f t="shared" si="12"/>
        <v>Needs Optimization</v>
      </c>
      <c r="O64" t="str">
        <f t="shared" si="13"/>
        <v>NO</v>
      </c>
      <c r="P64" s="8" t="str">
        <f t="shared" si="14"/>
        <v>NO</v>
      </c>
    </row>
    <row r="65" spans="1:16" x14ac:dyDescent="0.25">
      <c r="A65" s="15" t="s">
        <v>11</v>
      </c>
      <c r="B65" s="19" t="s">
        <v>22</v>
      </c>
      <c r="C65" s="19" t="s">
        <v>113</v>
      </c>
      <c r="D65" s="2">
        <v>28601.11</v>
      </c>
      <c r="E65">
        <v>15002</v>
      </c>
      <c r="F65">
        <v>5176</v>
      </c>
      <c r="G65" s="2">
        <v>8570.4</v>
      </c>
      <c r="H65" s="16">
        <v>19683.490000000002</v>
      </c>
      <c r="I65" s="7">
        <f t="shared" si="8"/>
        <v>1.9064864684708707</v>
      </c>
      <c r="J65" s="3">
        <f t="shared" si="9"/>
        <v>0.29965270578659359</v>
      </c>
      <c r="K65" s="2">
        <f t="shared" si="10"/>
        <v>1.312057725636582</v>
      </c>
      <c r="L65" s="4">
        <f t="shared" si="11"/>
        <v>0.34502066391147845</v>
      </c>
      <c r="M65" s="3">
        <f t="shared" si="7"/>
        <v>0.688207205944105</v>
      </c>
      <c r="N65" t="str">
        <f t="shared" si="12"/>
        <v>Needs Optimization</v>
      </c>
      <c r="O65" t="str">
        <f t="shared" si="13"/>
        <v>NO</v>
      </c>
      <c r="P65" s="8" t="str">
        <f t="shared" si="14"/>
        <v>NO</v>
      </c>
    </row>
    <row r="66" spans="1:16" x14ac:dyDescent="0.25">
      <c r="A66" s="15" t="s">
        <v>4</v>
      </c>
      <c r="B66" s="19" t="s">
        <v>22</v>
      </c>
      <c r="C66" s="19" t="s">
        <v>114</v>
      </c>
      <c r="D66" s="2">
        <v>27121.83</v>
      </c>
      <c r="E66">
        <v>16054</v>
      </c>
      <c r="F66">
        <v>4495</v>
      </c>
      <c r="G66" s="2">
        <v>11446.04</v>
      </c>
      <c r="H66" s="16">
        <v>18688.79</v>
      </c>
      <c r="I66" s="7">
        <f t="shared" si="8"/>
        <v>1.6894126074498568</v>
      </c>
      <c r="J66" s="3">
        <f t="shared" si="9"/>
        <v>0.42202314519337375</v>
      </c>
      <c r="K66" s="2">
        <f t="shared" si="10"/>
        <v>1.1641204684190856</v>
      </c>
      <c r="L66" s="4">
        <f t="shared" si="11"/>
        <v>0.27999252522735768</v>
      </c>
      <c r="M66" s="3">
        <f t="shared" si="7"/>
        <v>0.68906817865903591</v>
      </c>
      <c r="N66" t="str">
        <f t="shared" si="12"/>
        <v>Needs Optimization</v>
      </c>
      <c r="O66" t="str">
        <f t="shared" si="13"/>
        <v>NO</v>
      </c>
      <c r="P66" s="8" t="str">
        <f t="shared" si="14"/>
        <v>NO</v>
      </c>
    </row>
    <row r="67" spans="1:16" x14ac:dyDescent="0.25">
      <c r="A67" s="15" t="s">
        <v>19</v>
      </c>
      <c r="B67" s="19" t="s">
        <v>18</v>
      </c>
      <c r="C67" s="19" t="s">
        <v>115</v>
      </c>
      <c r="D67" s="2">
        <v>15568.72</v>
      </c>
      <c r="E67">
        <v>8339</v>
      </c>
      <c r="F67">
        <v>1749</v>
      </c>
      <c r="G67" s="2">
        <v>520.02</v>
      </c>
      <c r="H67" s="16">
        <v>845.58</v>
      </c>
      <c r="I67" s="7">
        <f t="shared" si="8"/>
        <v>1.8669768557380979</v>
      </c>
      <c r="J67" s="3">
        <f t="shared" si="9"/>
        <v>3.3401589854528825E-2</v>
      </c>
      <c r="K67" s="2">
        <f t="shared" si="10"/>
        <v>0.10140064755965944</v>
      </c>
      <c r="L67" s="4">
        <f t="shared" si="11"/>
        <v>0.20973737858256386</v>
      </c>
      <c r="M67" s="3">
        <f t="shared" si="7"/>
        <v>5.4312750181132435E-2</v>
      </c>
      <c r="N67" t="str">
        <f t="shared" si="12"/>
        <v>Needs Optimization</v>
      </c>
      <c r="O67" t="str">
        <f t="shared" si="13"/>
        <v>NO</v>
      </c>
      <c r="P67" s="8" t="str">
        <f t="shared" si="14"/>
        <v>NO</v>
      </c>
    </row>
    <row r="68" spans="1:16" x14ac:dyDescent="0.25">
      <c r="A68" s="15" t="s">
        <v>9</v>
      </c>
      <c r="B68" s="19" t="s">
        <v>18</v>
      </c>
      <c r="C68" s="19" t="s">
        <v>116</v>
      </c>
      <c r="D68" s="2">
        <v>4256.17</v>
      </c>
      <c r="E68">
        <v>5442</v>
      </c>
      <c r="F68">
        <v>1047</v>
      </c>
      <c r="G68" s="2">
        <v>2166</v>
      </c>
      <c r="H68" s="16">
        <v>2982.74</v>
      </c>
      <c r="I68" s="7">
        <f t="shared" ref="I68:I99" si="15">IFERROR(D68/E68,"")</f>
        <v>0.78209665564130837</v>
      </c>
      <c r="J68" s="3">
        <f t="shared" ref="J68:J99" si="16">IFERROR(G68/D68,"")</f>
        <v>0.50890824379665289</v>
      </c>
      <c r="K68" s="2">
        <f t="shared" ref="K68:K99" si="17">IFERROR(H68/E68,"")</f>
        <v>0.54809628812936417</v>
      </c>
      <c r="L68" s="4">
        <f t="shared" ref="L68:L99" si="18">IFERROR(F68/E68,"")</f>
        <v>0.19239250275633957</v>
      </c>
      <c r="M68" s="3">
        <f t="shared" si="7"/>
        <v>0.70080377428533158</v>
      </c>
      <c r="N68" t="str">
        <f t="shared" ref="N68:N99" si="19">IF(J68&gt;1,"Profitable",IF(J68&gt;=0.8,"Breakeven","Needs Optimization"))</f>
        <v>Needs Optimization</v>
      </c>
      <c r="O68" t="str">
        <f t="shared" ref="O68:O99" si="20">IF(K68&gt;I68,"YES","NO")</f>
        <v>NO</v>
      </c>
      <c r="P68" s="8" t="str">
        <f t="shared" ref="P68:P99" si="21">IF(AND(N68="Profitable",O68="YES"),"YES","NO")</f>
        <v>NO</v>
      </c>
    </row>
    <row r="69" spans="1:16" x14ac:dyDescent="0.25">
      <c r="A69" s="15" t="s">
        <v>28</v>
      </c>
      <c r="B69" s="19" t="s">
        <v>22</v>
      </c>
      <c r="C69" s="19" t="s">
        <v>117</v>
      </c>
      <c r="D69" s="2">
        <v>17193.11</v>
      </c>
      <c r="E69">
        <v>14124</v>
      </c>
      <c r="F69">
        <v>1764</v>
      </c>
      <c r="G69" s="2">
        <v>2752.46</v>
      </c>
      <c r="H69" s="16">
        <v>6120.8</v>
      </c>
      <c r="I69" s="7">
        <f t="shared" si="15"/>
        <v>1.217297507788162</v>
      </c>
      <c r="J69" s="3">
        <f t="shared" si="16"/>
        <v>0.16009087361158045</v>
      </c>
      <c r="K69" s="2">
        <f t="shared" si="17"/>
        <v>0.43336165392240161</v>
      </c>
      <c r="L69" s="4">
        <f t="shared" si="18"/>
        <v>0.12489379779099405</v>
      </c>
      <c r="M69" s="3">
        <f t="shared" ref="M69:M132" si="22">IFERROR(K69/I69,"")</f>
        <v>0.35600307332413972</v>
      </c>
      <c r="N69" t="str">
        <f t="shared" si="19"/>
        <v>Needs Optimization</v>
      </c>
      <c r="O69" t="str">
        <f t="shared" si="20"/>
        <v>NO</v>
      </c>
      <c r="P69" s="8" t="str">
        <f t="shared" si="21"/>
        <v>NO</v>
      </c>
    </row>
    <row r="70" spans="1:16" x14ac:dyDescent="0.25">
      <c r="A70" s="15" t="s">
        <v>31</v>
      </c>
      <c r="B70" s="19" t="s">
        <v>17</v>
      </c>
      <c r="C70" s="19" t="s">
        <v>118</v>
      </c>
      <c r="D70" s="2">
        <v>25988.5</v>
      </c>
      <c r="E70">
        <v>19364</v>
      </c>
      <c r="F70">
        <v>4882</v>
      </c>
      <c r="G70" s="2">
        <v>1150.08</v>
      </c>
      <c r="H70" s="16">
        <v>2534.9699999999998</v>
      </c>
      <c r="I70" s="7">
        <f t="shared" si="15"/>
        <v>1.3421039041520346</v>
      </c>
      <c r="J70" s="3">
        <f t="shared" si="16"/>
        <v>4.4253419781826571E-2</v>
      </c>
      <c r="K70" s="2">
        <f t="shared" si="17"/>
        <v>0.13091148523032431</v>
      </c>
      <c r="L70" s="4">
        <f t="shared" si="18"/>
        <v>0.25211733112993184</v>
      </c>
      <c r="M70" s="3">
        <f t="shared" si="22"/>
        <v>9.7541989726225062E-2</v>
      </c>
      <c r="N70" t="str">
        <f t="shared" si="19"/>
        <v>Needs Optimization</v>
      </c>
      <c r="O70" t="str">
        <f t="shared" si="20"/>
        <v>NO</v>
      </c>
      <c r="P70" s="8" t="str">
        <f t="shared" si="21"/>
        <v>NO</v>
      </c>
    </row>
    <row r="71" spans="1:16" x14ac:dyDescent="0.25">
      <c r="A71" s="15" t="s">
        <v>28</v>
      </c>
      <c r="B71" s="19" t="s">
        <v>18</v>
      </c>
      <c r="C71" s="19" t="s">
        <v>119</v>
      </c>
      <c r="D71" s="2">
        <v>22930.44</v>
      </c>
      <c r="E71">
        <v>18395</v>
      </c>
      <c r="F71">
        <v>7724</v>
      </c>
      <c r="G71" s="2">
        <v>15036.72</v>
      </c>
      <c r="H71" s="16">
        <v>24472.6</v>
      </c>
      <c r="I71" s="7">
        <f t="shared" si="15"/>
        <v>1.2465583038869257</v>
      </c>
      <c r="J71" s="3">
        <f t="shared" si="16"/>
        <v>0.65575366194455931</v>
      </c>
      <c r="K71" s="2">
        <f t="shared" si="17"/>
        <v>1.3303941288393584</v>
      </c>
      <c r="L71" s="4">
        <f t="shared" si="18"/>
        <v>0.41989671106278881</v>
      </c>
      <c r="M71" s="3">
        <f t="shared" si="22"/>
        <v>1.0672538337685626</v>
      </c>
      <c r="N71" t="str">
        <f t="shared" si="19"/>
        <v>Needs Optimization</v>
      </c>
      <c r="O71" t="str">
        <f t="shared" si="20"/>
        <v>YES</v>
      </c>
      <c r="P71" s="8" t="str">
        <f t="shared" si="21"/>
        <v>NO</v>
      </c>
    </row>
    <row r="72" spans="1:16" x14ac:dyDescent="0.25">
      <c r="A72" s="15" t="s">
        <v>8</v>
      </c>
      <c r="B72" s="19" t="s">
        <v>22</v>
      </c>
      <c r="C72" s="19" t="s">
        <v>120</v>
      </c>
      <c r="D72" s="2">
        <v>3600.63</v>
      </c>
      <c r="E72">
        <v>19642</v>
      </c>
      <c r="F72">
        <v>5710</v>
      </c>
      <c r="G72" s="2">
        <v>12062.3</v>
      </c>
      <c r="H72" s="16">
        <v>16504.310000000001</v>
      </c>
      <c r="I72" s="7">
        <f t="shared" si="15"/>
        <v>0.18331279910396089</v>
      </c>
      <c r="J72" s="3">
        <f t="shared" si="16"/>
        <v>3.3500526296786948</v>
      </c>
      <c r="K72" s="2">
        <f t="shared" si="17"/>
        <v>0.84025608390184303</v>
      </c>
      <c r="L72" s="4">
        <f t="shared" si="18"/>
        <v>0.29070359433866205</v>
      </c>
      <c r="M72" s="3">
        <f t="shared" si="22"/>
        <v>4.5837284030850158</v>
      </c>
      <c r="N72" t="str">
        <f t="shared" si="19"/>
        <v>Profitable</v>
      </c>
      <c r="O72" t="str">
        <f t="shared" si="20"/>
        <v>YES</v>
      </c>
      <c r="P72" s="8" t="str">
        <f t="shared" si="21"/>
        <v>YES</v>
      </c>
    </row>
    <row r="73" spans="1:16" x14ac:dyDescent="0.25">
      <c r="A73" s="15" t="s">
        <v>4</v>
      </c>
      <c r="B73" s="19" t="s">
        <v>17</v>
      </c>
      <c r="C73" s="19" t="s">
        <v>121</v>
      </c>
      <c r="D73" s="2">
        <v>27394.01</v>
      </c>
      <c r="E73">
        <v>19895</v>
      </c>
      <c r="F73">
        <v>6480</v>
      </c>
      <c r="G73" s="2">
        <v>2659.66</v>
      </c>
      <c r="H73" s="16">
        <v>3890.66</v>
      </c>
      <c r="I73" s="7">
        <f t="shared" si="15"/>
        <v>1.3769293792410153</v>
      </c>
      <c r="J73" s="3">
        <f t="shared" si="16"/>
        <v>9.7089108166347318E-2</v>
      </c>
      <c r="K73" s="2">
        <f t="shared" si="17"/>
        <v>0.19555968836391052</v>
      </c>
      <c r="L73" s="4">
        <f t="shared" si="18"/>
        <v>0.32570997738125157</v>
      </c>
      <c r="M73" s="3">
        <f t="shared" si="22"/>
        <v>0.14202593924730259</v>
      </c>
      <c r="N73" t="str">
        <f t="shared" si="19"/>
        <v>Needs Optimization</v>
      </c>
      <c r="O73" t="str">
        <f t="shared" si="20"/>
        <v>NO</v>
      </c>
      <c r="P73" s="8" t="str">
        <f t="shared" si="21"/>
        <v>NO</v>
      </c>
    </row>
    <row r="74" spans="1:16" x14ac:dyDescent="0.25">
      <c r="A74" s="15" t="s">
        <v>16</v>
      </c>
      <c r="B74" s="19" t="s">
        <v>17</v>
      </c>
      <c r="C74" s="19" t="s">
        <v>122</v>
      </c>
      <c r="D74" s="2">
        <v>3407.97</v>
      </c>
      <c r="E74">
        <v>12922</v>
      </c>
      <c r="F74">
        <v>2984</v>
      </c>
      <c r="G74" s="2">
        <v>2616.65</v>
      </c>
      <c r="H74" s="16">
        <v>6163.7</v>
      </c>
      <c r="I74" s="7">
        <f t="shared" si="15"/>
        <v>0.2637339421142238</v>
      </c>
      <c r="J74" s="3">
        <f t="shared" si="16"/>
        <v>0.76780312033263209</v>
      </c>
      <c r="K74" s="2">
        <f t="shared" si="17"/>
        <v>0.47699272558427486</v>
      </c>
      <c r="L74" s="4">
        <f t="shared" si="18"/>
        <v>0.23092400557189291</v>
      </c>
      <c r="M74" s="3">
        <f t="shared" si="22"/>
        <v>1.8086133387324419</v>
      </c>
      <c r="N74" t="str">
        <f t="shared" si="19"/>
        <v>Needs Optimization</v>
      </c>
      <c r="O74" t="str">
        <f t="shared" si="20"/>
        <v>YES</v>
      </c>
      <c r="P74" s="8" t="str">
        <f t="shared" si="21"/>
        <v>NO</v>
      </c>
    </row>
    <row r="75" spans="1:16" x14ac:dyDescent="0.25">
      <c r="A75" s="15" t="s">
        <v>13</v>
      </c>
      <c r="B75" s="19" t="s">
        <v>22</v>
      </c>
      <c r="C75" s="19" t="s">
        <v>123</v>
      </c>
      <c r="D75" s="2">
        <v>9063.6</v>
      </c>
      <c r="E75">
        <v>3183</v>
      </c>
      <c r="F75">
        <v>917</v>
      </c>
      <c r="G75" s="2">
        <v>545.04</v>
      </c>
      <c r="H75" s="16">
        <v>1331.15</v>
      </c>
      <c r="I75" s="7">
        <f t="shared" si="15"/>
        <v>2.8475023562676722</v>
      </c>
      <c r="J75" s="3">
        <f t="shared" si="16"/>
        <v>6.0135045677214345E-2</v>
      </c>
      <c r="K75" s="2">
        <f t="shared" si="17"/>
        <v>0.41820609487904498</v>
      </c>
      <c r="L75" s="4">
        <f t="shared" si="18"/>
        <v>0.28809299403078859</v>
      </c>
      <c r="M75" s="3">
        <f t="shared" si="22"/>
        <v>0.14686769054238935</v>
      </c>
      <c r="N75" t="str">
        <f t="shared" si="19"/>
        <v>Needs Optimization</v>
      </c>
      <c r="O75" t="str">
        <f t="shared" si="20"/>
        <v>NO</v>
      </c>
      <c r="P75" s="8" t="str">
        <f t="shared" si="21"/>
        <v>NO</v>
      </c>
    </row>
    <row r="76" spans="1:16" x14ac:dyDescent="0.25">
      <c r="A76" s="15" t="s">
        <v>30</v>
      </c>
      <c r="B76" s="19" t="s">
        <v>18</v>
      </c>
      <c r="C76" s="19" t="s">
        <v>124</v>
      </c>
      <c r="D76" s="2">
        <v>3921.31</v>
      </c>
      <c r="E76">
        <v>1819</v>
      </c>
      <c r="F76">
        <v>730</v>
      </c>
      <c r="G76" s="2">
        <v>851.4</v>
      </c>
      <c r="H76" s="16">
        <v>1127.6400000000001</v>
      </c>
      <c r="I76" s="7">
        <f t="shared" si="15"/>
        <v>2.1557504123144584</v>
      </c>
      <c r="J76" s="3">
        <f t="shared" si="16"/>
        <v>0.217121319150998</v>
      </c>
      <c r="K76" s="2">
        <f t="shared" si="17"/>
        <v>0.61992303463441456</v>
      </c>
      <c r="L76" s="4">
        <f t="shared" si="18"/>
        <v>0.40131940626717977</v>
      </c>
      <c r="M76" s="3">
        <f t="shared" si="22"/>
        <v>0.28756716505453539</v>
      </c>
      <c r="N76" t="str">
        <f t="shared" si="19"/>
        <v>Needs Optimization</v>
      </c>
      <c r="O76" t="str">
        <f t="shared" si="20"/>
        <v>NO</v>
      </c>
      <c r="P76" s="8" t="str">
        <f t="shared" si="21"/>
        <v>NO</v>
      </c>
    </row>
    <row r="77" spans="1:16" x14ac:dyDescent="0.25">
      <c r="A77" s="15" t="s">
        <v>6</v>
      </c>
      <c r="B77" s="19" t="s">
        <v>17</v>
      </c>
      <c r="C77" s="19" t="s">
        <v>125</v>
      </c>
      <c r="D77" s="2">
        <v>5534.19</v>
      </c>
      <c r="E77">
        <v>4248</v>
      </c>
      <c r="F77">
        <v>1383</v>
      </c>
      <c r="G77" s="2">
        <v>1233.46</v>
      </c>
      <c r="H77" s="16">
        <v>2738.62</v>
      </c>
      <c r="I77" s="7">
        <f t="shared" si="15"/>
        <v>1.3027754237288134</v>
      </c>
      <c r="J77" s="3">
        <f t="shared" si="16"/>
        <v>0.22287995171831834</v>
      </c>
      <c r="K77" s="2">
        <f t="shared" si="17"/>
        <v>0.64468455743879471</v>
      </c>
      <c r="L77" s="4">
        <f t="shared" si="18"/>
        <v>0.32556497175141241</v>
      </c>
      <c r="M77" s="3">
        <f t="shared" si="22"/>
        <v>0.49485471225238026</v>
      </c>
      <c r="N77" t="str">
        <f t="shared" si="19"/>
        <v>Needs Optimization</v>
      </c>
      <c r="O77" t="str">
        <f t="shared" si="20"/>
        <v>NO</v>
      </c>
      <c r="P77" s="8" t="str">
        <f t="shared" si="21"/>
        <v>NO</v>
      </c>
    </row>
    <row r="78" spans="1:16" x14ac:dyDescent="0.25">
      <c r="A78" s="15" t="s">
        <v>12</v>
      </c>
      <c r="B78" s="19" t="s">
        <v>18</v>
      </c>
      <c r="C78" s="19" t="s">
        <v>126</v>
      </c>
      <c r="D78" s="2">
        <v>19002.93</v>
      </c>
      <c r="E78">
        <v>4253</v>
      </c>
      <c r="F78">
        <v>1748</v>
      </c>
      <c r="G78" s="2">
        <v>758.29</v>
      </c>
      <c r="H78" s="16">
        <v>1512.35</v>
      </c>
      <c r="I78" s="7">
        <f t="shared" si="15"/>
        <v>4.4681236774041855</v>
      </c>
      <c r="J78" s="3">
        <f t="shared" si="16"/>
        <v>3.9903846406843572E-2</v>
      </c>
      <c r="K78" s="2">
        <f t="shared" si="17"/>
        <v>0.3555960498471667</v>
      </c>
      <c r="L78" s="4">
        <f t="shared" si="18"/>
        <v>0.41100399717846225</v>
      </c>
      <c r="M78" s="3">
        <f t="shared" si="22"/>
        <v>7.9585095561579181E-2</v>
      </c>
      <c r="N78" t="str">
        <f t="shared" si="19"/>
        <v>Needs Optimization</v>
      </c>
      <c r="O78" t="str">
        <f t="shared" si="20"/>
        <v>NO</v>
      </c>
      <c r="P78" s="8" t="str">
        <f t="shared" si="21"/>
        <v>NO</v>
      </c>
    </row>
    <row r="79" spans="1:16" x14ac:dyDescent="0.25">
      <c r="A79" s="15" t="s">
        <v>15</v>
      </c>
      <c r="B79" s="19" t="s">
        <v>18</v>
      </c>
      <c r="C79" s="19" t="s">
        <v>127</v>
      </c>
      <c r="D79" s="2">
        <v>20965.72</v>
      </c>
      <c r="E79">
        <v>12798</v>
      </c>
      <c r="F79">
        <v>3310</v>
      </c>
      <c r="G79" s="2">
        <v>2087.2800000000002</v>
      </c>
      <c r="H79" s="16">
        <v>4443.2700000000004</v>
      </c>
      <c r="I79" s="7">
        <f t="shared" si="15"/>
        <v>1.6382028441944054</v>
      </c>
      <c r="J79" s="3">
        <f t="shared" si="16"/>
        <v>9.9556800338838833E-2</v>
      </c>
      <c r="K79" s="2">
        <f t="shared" si="17"/>
        <v>0.3471847163619316</v>
      </c>
      <c r="L79" s="4">
        <f t="shared" si="18"/>
        <v>0.2586341615877481</v>
      </c>
      <c r="M79" s="3">
        <f t="shared" si="22"/>
        <v>0.2119302365957382</v>
      </c>
      <c r="N79" t="str">
        <f t="shared" si="19"/>
        <v>Needs Optimization</v>
      </c>
      <c r="O79" t="str">
        <f t="shared" si="20"/>
        <v>NO</v>
      </c>
      <c r="P79" s="8" t="str">
        <f t="shared" si="21"/>
        <v>NO</v>
      </c>
    </row>
    <row r="80" spans="1:16" x14ac:dyDescent="0.25">
      <c r="A80" s="15" t="s">
        <v>7</v>
      </c>
      <c r="B80" s="19" t="s">
        <v>17</v>
      </c>
      <c r="C80" s="19" t="s">
        <v>128</v>
      </c>
      <c r="D80" s="2">
        <v>4853.24</v>
      </c>
      <c r="E80">
        <v>10382</v>
      </c>
      <c r="F80">
        <v>4569</v>
      </c>
      <c r="G80" s="2">
        <v>2930.89</v>
      </c>
      <c r="H80" s="16">
        <v>7270.4</v>
      </c>
      <c r="I80" s="7">
        <f t="shared" si="15"/>
        <v>0.46746676940859178</v>
      </c>
      <c r="J80" s="3">
        <f t="shared" si="16"/>
        <v>0.60390378386397536</v>
      </c>
      <c r="K80" s="2">
        <f t="shared" si="17"/>
        <v>0.70028896166441912</v>
      </c>
      <c r="L80" s="4">
        <f t="shared" si="18"/>
        <v>0.44008861491042189</v>
      </c>
      <c r="M80" s="3">
        <f t="shared" si="22"/>
        <v>1.4980507866909527</v>
      </c>
      <c r="N80" t="str">
        <f t="shared" si="19"/>
        <v>Needs Optimization</v>
      </c>
      <c r="O80" t="str">
        <f t="shared" si="20"/>
        <v>YES</v>
      </c>
      <c r="P80" s="8" t="str">
        <f t="shared" si="21"/>
        <v>NO</v>
      </c>
    </row>
    <row r="81" spans="1:16" x14ac:dyDescent="0.25">
      <c r="A81" s="15" t="s">
        <v>23</v>
      </c>
      <c r="B81" s="19" t="s">
        <v>22</v>
      </c>
      <c r="C81" s="19" t="s">
        <v>129</v>
      </c>
      <c r="D81" s="2">
        <v>16916.87</v>
      </c>
      <c r="E81">
        <v>12642</v>
      </c>
      <c r="F81">
        <v>1612</v>
      </c>
      <c r="G81" s="2">
        <v>712.37</v>
      </c>
      <c r="H81" s="16">
        <v>1285.17</v>
      </c>
      <c r="I81" s="7">
        <f t="shared" si="15"/>
        <v>1.3381482360386014</v>
      </c>
      <c r="J81" s="3">
        <f t="shared" si="16"/>
        <v>4.2110035721738125E-2</v>
      </c>
      <c r="K81" s="2">
        <f t="shared" si="17"/>
        <v>0.10165875652586617</v>
      </c>
      <c r="L81" s="4">
        <f t="shared" si="18"/>
        <v>0.12751146970416075</v>
      </c>
      <c r="M81" s="3">
        <f t="shared" si="22"/>
        <v>7.5969727260421116E-2</v>
      </c>
      <c r="N81" t="str">
        <f t="shared" si="19"/>
        <v>Needs Optimization</v>
      </c>
      <c r="O81" t="str">
        <f t="shared" si="20"/>
        <v>NO</v>
      </c>
      <c r="P81" s="8" t="str">
        <f t="shared" si="21"/>
        <v>NO</v>
      </c>
    </row>
    <row r="82" spans="1:16" x14ac:dyDescent="0.25">
      <c r="A82" s="15" t="s">
        <v>5</v>
      </c>
      <c r="B82" s="19" t="s">
        <v>17</v>
      </c>
      <c r="C82" s="19" t="s">
        <v>130</v>
      </c>
      <c r="D82" s="2">
        <v>14138.66</v>
      </c>
      <c r="E82">
        <v>12368</v>
      </c>
      <c r="F82">
        <v>4381</v>
      </c>
      <c r="G82" s="2">
        <v>10539.1</v>
      </c>
      <c r="H82" s="16">
        <v>19208.400000000001</v>
      </c>
      <c r="I82" s="7">
        <f t="shared" si="15"/>
        <v>1.1431646183699871</v>
      </c>
      <c r="J82" s="3">
        <f t="shared" si="16"/>
        <v>0.74541010251325091</v>
      </c>
      <c r="K82" s="2">
        <f t="shared" si="17"/>
        <v>1.5530724450194051</v>
      </c>
      <c r="L82" s="4">
        <f t="shared" si="18"/>
        <v>0.35422056921086675</v>
      </c>
      <c r="M82" s="3">
        <f t="shared" si="22"/>
        <v>1.3585728774862684</v>
      </c>
      <c r="N82" t="str">
        <f t="shared" si="19"/>
        <v>Needs Optimization</v>
      </c>
      <c r="O82" t="str">
        <f t="shared" si="20"/>
        <v>YES</v>
      </c>
      <c r="P82" s="8" t="str">
        <f t="shared" si="21"/>
        <v>NO</v>
      </c>
    </row>
    <row r="83" spans="1:16" x14ac:dyDescent="0.25">
      <c r="A83" s="15" t="s">
        <v>8</v>
      </c>
      <c r="B83" s="19" t="s">
        <v>18</v>
      </c>
      <c r="C83" s="19" t="s">
        <v>131</v>
      </c>
      <c r="D83" s="2">
        <v>29033.26</v>
      </c>
      <c r="E83">
        <v>9350</v>
      </c>
      <c r="F83">
        <v>3238</v>
      </c>
      <c r="G83" s="2">
        <v>9140.6299999999992</v>
      </c>
      <c r="H83" s="16">
        <v>16981.91</v>
      </c>
      <c r="I83" s="7">
        <f t="shared" si="15"/>
        <v>3.1051614973262032</v>
      </c>
      <c r="J83" s="3">
        <f t="shared" si="16"/>
        <v>0.31483305698361119</v>
      </c>
      <c r="K83" s="2">
        <f t="shared" si="17"/>
        <v>1.8162470588235293</v>
      </c>
      <c r="L83" s="4">
        <f t="shared" si="18"/>
        <v>0.34631016042780749</v>
      </c>
      <c r="M83" s="3">
        <f t="shared" si="22"/>
        <v>0.58491226958322973</v>
      </c>
      <c r="N83" t="str">
        <f t="shared" si="19"/>
        <v>Needs Optimization</v>
      </c>
      <c r="O83" t="str">
        <f t="shared" si="20"/>
        <v>NO</v>
      </c>
      <c r="P83" s="8" t="str">
        <f t="shared" si="21"/>
        <v>NO</v>
      </c>
    </row>
    <row r="84" spans="1:16" x14ac:dyDescent="0.25">
      <c r="A84" s="15" t="s">
        <v>8</v>
      </c>
      <c r="B84" s="19" t="s">
        <v>18</v>
      </c>
      <c r="C84" s="19" t="s">
        <v>132</v>
      </c>
      <c r="D84" s="2">
        <v>9515.08</v>
      </c>
      <c r="E84">
        <v>8544</v>
      </c>
      <c r="F84">
        <v>3693</v>
      </c>
      <c r="G84" s="2">
        <v>2589.14</v>
      </c>
      <c r="H84" s="16">
        <v>4123.5600000000004</v>
      </c>
      <c r="I84" s="7">
        <f t="shared" si="15"/>
        <v>1.1136563670411985</v>
      </c>
      <c r="J84" s="3">
        <f t="shared" si="16"/>
        <v>0.27210911521500608</v>
      </c>
      <c r="K84" s="2">
        <f t="shared" si="17"/>
        <v>0.48262640449438204</v>
      </c>
      <c r="L84" s="4">
        <f t="shared" si="18"/>
        <v>0.43223314606741575</v>
      </c>
      <c r="M84" s="3">
        <f t="shared" si="22"/>
        <v>0.43337102788415865</v>
      </c>
      <c r="N84" t="str">
        <f t="shared" si="19"/>
        <v>Needs Optimization</v>
      </c>
      <c r="O84" t="str">
        <f t="shared" si="20"/>
        <v>NO</v>
      </c>
      <c r="P84" s="8" t="str">
        <f t="shared" si="21"/>
        <v>NO</v>
      </c>
    </row>
    <row r="85" spans="1:16" x14ac:dyDescent="0.25">
      <c r="A85" s="15" t="s">
        <v>16</v>
      </c>
      <c r="B85" s="19" t="s">
        <v>18</v>
      </c>
      <c r="C85" s="19" t="s">
        <v>133</v>
      </c>
      <c r="D85" s="2">
        <v>19089.29</v>
      </c>
      <c r="E85">
        <v>12918</v>
      </c>
      <c r="F85">
        <v>3030</v>
      </c>
      <c r="G85" s="2">
        <v>2760.45</v>
      </c>
      <c r="H85" s="16">
        <v>5203.6099999999997</v>
      </c>
      <c r="I85" s="7">
        <f t="shared" si="15"/>
        <v>1.4777279764669453</v>
      </c>
      <c r="J85" s="3">
        <f t="shared" si="16"/>
        <v>0.14460726407320543</v>
      </c>
      <c r="K85" s="2">
        <f t="shared" si="17"/>
        <v>0.40281854776281156</v>
      </c>
      <c r="L85" s="4">
        <f t="shared" si="18"/>
        <v>0.23455643288434741</v>
      </c>
      <c r="M85" s="3">
        <f t="shared" si="22"/>
        <v>0.27259316611565959</v>
      </c>
      <c r="N85" t="str">
        <f t="shared" si="19"/>
        <v>Needs Optimization</v>
      </c>
      <c r="O85" t="str">
        <f t="shared" si="20"/>
        <v>NO</v>
      </c>
      <c r="P85" s="8" t="str">
        <f t="shared" si="21"/>
        <v>NO</v>
      </c>
    </row>
    <row r="86" spans="1:16" x14ac:dyDescent="0.25">
      <c r="A86" s="15" t="s">
        <v>21</v>
      </c>
      <c r="B86" s="19" t="s">
        <v>22</v>
      </c>
      <c r="C86" s="19" t="s">
        <v>134</v>
      </c>
      <c r="D86" s="2">
        <v>11529.49</v>
      </c>
      <c r="E86">
        <v>9552</v>
      </c>
      <c r="F86">
        <v>3078</v>
      </c>
      <c r="G86" s="2">
        <v>2147.27</v>
      </c>
      <c r="H86" s="16">
        <v>3413.36</v>
      </c>
      <c r="I86" s="7">
        <f t="shared" si="15"/>
        <v>1.2070236599664992</v>
      </c>
      <c r="J86" s="3">
        <f t="shared" si="16"/>
        <v>0.18624154234055454</v>
      </c>
      <c r="K86" s="2">
        <f t="shared" si="17"/>
        <v>0.35734505862646565</v>
      </c>
      <c r="L86" s="4">
        <f t="shared" si="18"/>
        <v>0.32223618090452261</v>
      </c>
      <c r="M86" s="3">
        <f t="shared" si="22"/>
        <v>0.29605472575109565</v>
      </c>
      <c r="N86" t="str">
        <f t="shared" si="19"/>
        <v>Needs Optimization</v>
      </c>
      <c r="O86" t="str">
        <f t="shared" si="20"/>
        <v>NO</v>
      </c>
      <c r="P86" s="8" t="str">
        <f t="shared" si="21"/>
        <v>NO</v>
      </c>
    </row>
    <row r="87" spans="1:16" x14ac:dyDescent="0.25">
      <c r="A87" s="15" t="s">
        <v>28</v>
      </c>
      <c r="B87" s="19" t="s">
        <v>22</v>
      </c>
      <c r="C87" s="19" t="s">
        <v>135</v>
      </c>
      <c r="D87" s="2">
        <v>17544.93</v>
      </c>
      <c r="E87">
        <v>8374</v>
      </c>
      <c r="F87">
        <v>3150</v>
      </c>
      <c r="G87" s="2">
        <v>4678.47</v>
      </c>
      <c r="H87" s="16">
        <v>10533.67</v>
      </c>
      <c r="I87" s="7">
        <f t="shared" si="15"/>
        <v>2.0951671841413901</v>
      </c>
      <c r="J87" s="3">
        <f t="shared" si="16"/>
        <v>0.26665652128563638</v>
      </c>
      <c r="K87" s="2">
        <f t="shared" si="17"/>
        <v>1.2579018390255552</v>
      </c>
      <c r="L87" s="4">
        <f t="shared" si="18"/>
        <v>0.37616431812753759</v>
      </c>
      <c r="M87" s="3">
        <f t="shared" si="22"/>
        <v>0.60038256065997408</v>
      </c>
      <c r="N87" t="str">
        <f t="shared" si="19"/>
        <v>Needs Optimization</v>
      </c>
      <c r="O87" t="str">
        <f t="shared" si="20"/>
        <v>NO</v>
      </c>
      <c r="P87" s="8" t="str">
        <f t="shared" si="21"/>
        <v>NO</v>
      </c>
    </row>
    <row r="88" spans="1:16" x14ac:dyDescent="0.25">
      <c r="A88" s="15" t="s">
        <v>14</v>
      </c>
      <c r="B88" s="19" t="s">
        <v>22</v>
      </c>
      <c r="C88" s="19" t="s">
        <v>136</v>
      </c>
      <c r="D88" s="2">
        <v>8204.7000000000007</v>
      </c>
      <c r="E88">
        <v>8472</v>
      </c>
      <c r="F88">
        <v>1884</v>
      </c>
      <c r="G88" s="2">
        <v>2508.92</v>
      </c>
      <c r="H88" s="16">
        <v>4860.04</v>
      </c>
      <c r="I88" s="7">
        <f t="shared" si="15"/>
        <v>0.96844900849858362</v>
      </c>
      <c r="J88" s="3">
        <f t="shared" si="16"/>
        <v>0.30579058344607357</v>
      </c>
      <c r="K88" s="2">
        <f t="shared" si="17"/>
        <v>0.57365911237016054</v>
      </c>
      <c r="L88" s="4">
        <f t="shared" si="18"/>
        <v>0.22237960339943344</v>
      </c>
      <c r="M88" s="3">
        <f t="shared" si="22"/>
        <v>0.59234828817628915</v>
      </c>
      <c r="N88" t="str">
        <f t="shared" si="19"/>
        <v>Needs Optimization</v>
      </c>
      <c r="O88" t="str">
        <f t="shared" si="20"/>
        <v>NO</v>
      </c>
      <c r="P88" s="8" t="str">
        <f t="shared" si="21"/>
        <v>NO</v>
      </c>
    </row>
    <row r="89" spans="1:16" x14ac:dyDescent="0.25">
      <c r="A89" s="15" t="s">
        <v>28</v>
      </c>
      <c r="B89" s="19" t="s">
        <v>18</v>
      </c>
      <c r="C89" s="19" t="s">
        <v>137</v>
      </c>
      <c r="D89" s="2">
        <v>17410.88</v>
      </c>
      <c r="E89">
        <v>12028</v>
      </c>
      <c r="F89">
        <v>4584</v>
      </c>
      <c r="G89" s="2">
        <v>2347.71</v>
      </c>
      <c r="H89" s="16">
        <v>3391.94</v>
      </c>
      <c r="I89" s="7">
        <f t="shared" si="15"/>
        <v>1.4475290987695377</v>
      </c>
      <c r="J89" s="3">
        <f t="shared" si="16"/>
        <v>0.13484154735429799</v>
      </c>
      <c r="K89" s="2">
        <f t="shared" si="17"/>
        <v>0.28200365813102762</v>
      </c>
      <c r="L89" s="4">
        <f t="shared" si="18"/>
        <v>0.38111074160292652</v>
      </c>
      <c r="M89" s="3">
        <f t="shared" si="22"/>
        <v>0.19481726368799282</v>
      </c>
      <c r="N89" t="str">
        <f t="shared" si="19"/>
        <v>Needs Optimization</v>
      </c>
      <c r="O89" t="str">
        <f t="shared" si="20"/>
        <v>NO</v>
      </c>
      <c r="P89" s="8" t="str">
        <f t="shared" si="21"/>
        <v>NO</v>
      </c>
    </row>
    <row r="90" spans="1:16" x14ac:dyDescent="0.25">
      <c r="A90" s="15" t="s">
        <v>9</v>
      </c>
      <c r="B90" s="19" t="s">
        <v>17</v>
      </c>
      <c r="C90" s="19" t="s">
        <v>138</v>
      </c>
      <c r="D90" s="2">
        <v>2260.83</v>
      </c>
      <c r="E90">
        <v>18948</v>
      </c>
      <c r="F90">
        <v>9444</v>
      </c>
      <c r="G90" s="2">
        <v>2356.39</v>
      </c>
      <c r="H90" s="16">
        <v>3813.21</v>
      </c>
      <c r="I90" s="7">
        <f t="shared" si="15"/>
        <v>0.11931760607979734</v>
      </c>
      <c r="J90" s="3">
        <f t="shared" si="16"/>
        <v>1.0422676627610215</v>
      </c>
      <c r="K90" s="2">
        <f t="shared" si="17"/>
        <v>0.20124604179860672</v>
      </c>
      <c r="L90" s="4">
        <f t="shared" si="18"/>
        <v>0.49841671944268523</v>
      </c>
      <c r="M90" s="3">
        <f t="shared" si="22"/>
        <v>1.6866416316131687</v>
      </c>
      <c r="N90" t="str">
        <f t="shared" si="19"/>
        <v>Profitable</v>
      </c>
      <c r="O90" t="str">
        <f t="shared" si="20"/>
        <v>YES</v>
      </c>
      <c r="P90" s="8" t="str">
        <f t="shared" si="21"/>
        <v>YES</v>
      </c>
    </row>
    <row r="91" spans="1:16" x14ac:dyDescent="0.25">
      <c r="A91" s="15" t="s">
        <v>10</v>
      </c>
      <c r="B91" s="19" t="s">
        <v>22</v>
      </c>
      <c r="C91" s="19" t="s">
        <v>139</v>
      </c>
      <c r="D91" s="2">
        <v>5347.53</v>
      </c>
      <c r="E91">
        <v>18059</v>
      </c>
      <c r="F91">
        <v>8674</v>
      </c>
      <c r="G91" s="2">
        <v>7629.26</v>
      </c>
      <c r="H91" s="16">
        <v>16680.05</v>
      </c>
      <c r="I91" s="7">
        <f t="shared" si="15"/>
        <v>0.29611440279085222</v>
      </c>
      <c r="J91" s="3">
        <f t="shared" si="16"/>
        <v>1.4266885833272558</v>
      </c>
      <c r="K91" s="2">
        <f t="shared" si="17"/>
        <v>0.92364195138158256</v>
      </c>
      <c r="L91" s="4">
        <f t="shared" si="18"/>
        <v>0.480314524613766</v>
      </c>
      <c r="M91" s="3">
        <f t="shared" si="22"/>
        <v>3.1192064373645403</v>
      </c>
      <c r="N91" t="str">
        <f t="shared" si="19"/>
        <v>Profitable</v>
      </c>
      <c r="O91" t="str">
        <f t="shared" si="20"/>
        <v>YES</v>
      </c>
      <c r="P91" s="8" t="str">
        <f t="shared" si="21"/>
        <v>YES</v>
      </c>
    </row>
    <row r="92" spans="1:16" x14ac:dyDescent="0.25">
      <c r="A92" s="15" t="s">
        <v>21</v>
      </c>
      <c r="B92" s="19" t="s">
        <v>17</v>
      </c>
      <c r="C92" s="19" t="s">
        <v>140</v>
      </c>
      <c r="D92" s="2">
        <v>10463.49</v>
      </c>
      <c r="E92">
        <v>18002</v>
      </c>
      <c r="F92">
        <v>2711</v>
      </c>
      <c r="G92" s="2">
        <v>360.15</v>
      </c>
      <c r="H92" s="16">
        <v>594.45000000000005</v>
      </c>
      <c r="I92" s="7">
        <f t="shared" si="15"/>
        <v>0.58124041773136315</v>
      </c>
      <c r="J92" s="3">
        <f t="shared" si="16"/>
        <v>3.4419682151939746E-2</v>
      </c>
      <c r="K92" s="2">
        <f t="shared" si="17"/>
        <v>3.3021330963226313E-2</v>
      </c>
      <c r="L92" s="4">
        <f t="shared" si="18"/>
        <v>0.15059437840239973</v>
      </c>
      <c r="M92" s="3">
        <f t="shared" si="22"/>
        <v>5.6811828558157952E-2</v>
      </c>
      <c r="N92" t="str">
        <f t="shared" si="19"/>
        <v>Needs Optimization</v>
      </c>
      <c r="O92" t="str">
        <f t="shared" si="20"/>
        <v>NO</v>
      </c>
      <c r="P92" s="8" t="str">
        <f t="shared" si="21"/>
        <v>NO</v>
      </c>
    </row>
    <row r="93" spans="1:16" x14ac:dyDescent="0.25">
      <c r="A93" s="15" t="s">
        <v>6</v>
      </c>
      <c r="B93" s="19" t="s">
        <v>18</v>
      </c>
      <c r="C93" s="19" t="s">
        <v>141</v>
      </c>
      <c r="D93" s="2">
        <v>26316.91</v>
      </c>
      <c r="E93">
        <v>16585</v>
      </c>
      <c r="F93">
        <v>2339</v>
      </c>
      <c r="G93" s="2">
        <v>498.56</v>
      </c>
      <c r="H93" s="16">
        <v>934.53</v>
      </c>
      <c r="I93" s="7">
        <f t="shared" si="15"/>
        <v>1.5867898703647874</v>
      </c>
      <c r="J93" s="3">
        <f t="shared" si="16"/>
        <v>1.8944473344324999E-2</v>
      </c>
      <c r="K93" s="2">
        <f t="shared" si="17"/>
        <v>5.6347904733192643E-2</v>
      </c>
      <c r="L93" s="4">
        <f t="shared" si="18"/>
        <v>0.14103105215556225</v>
      </c>
      <c r="M93" s="3">
        <f t="shared" si="22"/>
        <v>3.5510627957461571E-2</v>
      </c>
      <c r="N93" t="str">
        <f t="shared" si="19"/>
        <v>Needs Optimization</v>
      </c>
      <c r="O93" t="str">
        <f t="shared" si="20"/>
        <v>NO</v>
      </c>
      <c r="P93" s="8" t="str">
        <f t="shared" si="21"/>
        <v>NO</v>
      </c>
    </row>
    <row r="94" spans="1:16" x14ac:dyDescent="0.25">
      <c r="A94" s="15" t="s">
        <v>9</v>
      </c>
      <c r="B94" s="19" t="s">
        <v>17</v>
      </c>
      <c r="C94" s="19" t="s">
        <v>142</v>
      </c>
      <c r="D94" s="2">
        <v>29033.93</v>
      </c>
      <c r="E94">
        <v>8773</v>
      </c>
      <c r="F94">
        <v>4179</v>
      </c>
      <c r="G94" s="2">
        <v>7293.7</v>
      </c>
      <c r="H94" s="16">
        <v>12988.98</v>
      </c>
      <c r="I94" s="7">
        <f t="shared" si="15"/>
        <v>3.309464265359626</v>
      </c>
      <c r="J94" s="3">
        <f t="shared" si="16"/>
        <v>0.25121297736820331</v>
      </c>
      <c r="K94" s="2">
        <f t="shared" si="17"/>
        <v>1.4805630913028609</v>
      </c>
      <c r="L94" s="4">
        <f t="shared" si="18"/>
        <v>0.47634788555796193</v>
      </c>
      <c r="M94" s="3">
        <f t="shared" si="22"/>
        <v>0.4473724363184729</v>
      </c>
      <c r="N94" t="str">
        <f t="shared" si="19"/>
        <v>Needs Optimization</v>
      </c>
      <c r="O94" t="str">
        <f t="shared" si="20"/>
        <v>NO</v>
      </c>
      <c r="P94" s="8" t="str">
        <f t="shared" si="21"/>
        <v>NO</v>
      </c>
    </row>
    <row r="95" spans="1:16" x14ac:dyDescent="0.25">
      <c r="A95" s="15" t="s">
        <v>14</v>
      </c>
      <c r="B95" s="19" t="s">
        <v>18</v>
      </c>
      <c r="C95" s="19" t="s">
        <v>143</v>
      </c>
      <c r="D95" s="2">
        <v>19624.48</v>
      </c>
      <c r="E95">
        <v>2256</v>
      </c>
      <c r="F95">
        <v>362</v>
      </c>
      <c r="G95" s="2">
        <v>1076.92</v>
      </c>
      <c r="H95" s="16">
        <v>1510.08</v>
      </c>
      <c r="I95" s="7">
        <f t="shared" si="15"/>
        <v>8.6987943262411349</v>
      </c>
      <c r="J95" s="3">
        <f t="shared" si="16"/>
        <v>5.4876358507333703E-2</v>
      </c>
      <c r="K95" s="2">
        <f t="shared" si="17"/>
        <v>0.66936170212765955</v>
      </c>
      <c r="L95" s="4">
        <f t="shared" si="18"/>
        <v>0.16046099290780141</v>
      </c>
      <c r="M95" s="3">
        <f t="shared" si="22"/>
        <v>7.6948790490244834E-2</v>
      </c>
      <c r="N95" t="str">
        <f t="shared" si="19"/>
        <v>Needs Optimization</v>
      </c>
      <c r="O95" t="str">
        <f t="shared" si="20"/>
        <v>NO</v>
      </c>
      <c r="P95" s="8" t="str">
        <f t="shared" si="21"/>
        <v>NO</v>
      </c>
    </row>
    <row r="96" spans="1:16" x14ac:dyDescent="0.25">
      <c r="A96" s="15" t="s">
        <v>30</v>
      </c>
      <c r="B96" s="19" t="s">
        <v>17</v>
      </c>
      <c r="C96" s="19" t="s">
        <v>144</v>
      </c>
      <c r="D96" s="2">
        <v>17626.04</v>
      </c>
      <c r="E96">
        <v>14137</v>
      </c>
      <c r="F96">
        <v>4842</v>
      </c>
      <c r="G96" s="2">
        <v>5191.22</v>
      </c>
      <c r="H96" s="16">
        <v>10003.93</v>
      </c>
      <c r="I96" s="7">
        <f t="shared" si="15"/>
        <v>1.246802008912782</v>
      </c>
      <c r="J96" s="3">
        <f t="shared" si="16"/>
        <v>0.29451992620009942</v>
      </c>
      <c r="K96" s="2">
        <f t="shared" si="17"/>
        <v>0.70764164957204501</v>
      </c>
      <c r="L96" s="4">
        <f t="shared" si="18"/>
        <v>0.34250548206833131</v>
      </c>
      <c r="M96" s="3">
        <f t="shared" si="22"/>
        <v>0.56756537486582359</v>
      </c>
      <c r="N96" t="str">
        <f t="shared" si="19"/>
        <v>Needs Optimization</v>
      </c>
      <c r="O96" t="str">
        <f t="shared" si="20"/>
        <v>NO</v>
      </c>
      <c r="P96" s="8" t="str">
        <f t="shared" si="21"/>
        <v>NO</v>
      </c>
    </row>
    <row r="97" spans="1:16" x14ac:dyDescent="0.25">
      <c r="A97" s="15" t="s">
        <v>16</v>
      </c>
      <c r="B97" s="19" t="s">
        <v>22</v>
      </c>
      <c r="C97" s="19" t="s">
        <v>145</v>
      </c>
      <c r="D97" s="2">
        <v>10325.89</v>
      </c>
      <c r="E97">
        <v>19784</v>
      </c>
      <c r="F97">
        <v>9813</v>
      </c>
      <c r="G97" s="2">
        <v>9969.32</v>
      </c>
      <c r="H97" s="16">
        <v>20253.240000000002</v>
      </c>
      <c r="I97" s="7">
        <f t="shared" si="15"/>
        <v>0.52193135867367568</v>
      </c>
      <c r="J97" s="3">
        <f t="shared" si="16"/>
        <v>0.96546835188056435</v>
      </c>
      <c r="K97" s="2">
        <f t="shared" si="17"/>
        <v>1.023718156085726</v>
      </c>
      <c r="L97" s="4">
        <f t="shared" si="18"/>
        <v>0.49600687424181156</v>
      </c>
      <c r="M97" s="3">
        <f t="shared" si="22"/>
        <v>1.9614038111969045</v>
      </c>
      <c r="N97" t="str">
        <f t="shared" si="19"/>
        <v>Breakeven</v>
      </c>
      <c r="O97" t="str">
        <f t="shared" si="20"/>
        <v>YES</v>
      </c>
      <c r="P97" s="8" t="str">
        <f t="shared" si="21"/>
        <v>NO</v>
      </c>
    </row>
    <row r="98" spans="1:16" x14ac:dyDescent="0.25">
      <c r="A98" s="15" t="s">
        <v>8</v>
      </c>
      <c r="B98" s="19" t="s">
        <v>17</v>
      </c>
      <c r="C98" s="19" t="s">
        <v>146</v>
      </c>
      <c r="D98" s="2">
        <v>28532.53</v>
      </c>
      <c r="E98">
        <v>7308</v>
      </c>
      <c r="F98">
        <v>2559</v>
      </c>
      <c r="G98" s="2">
        <v>792.99</v>
      </c>
      <c r="H98" s="16">
        <v>1259.1400000000001</v>
      </c>
      <c r="I98" s="7">
        <f t="shared" si="15"/>
        <v>3.9042870826491516</v>
      </c>
      <c r="J98" s="3">
        <f t="shared" si="16"/>
        <v>2.7792488082900465E-2</v>
      </c>
      <c r="K98" s="2">
        <f t="shared" si="17"/>
        <v>0.17229611384783799</v>
      </c>
      <c r="L98" s="4">
        <f t="shared" si="18"/>
        <v>0.35016420361247946</v>
      </c>
      <c r="M98" s="3">
        <f t="shared" si="22"/>
        <v>4.4129980762308847E-2</v>
      </c>
      <c r="N98" t="str">
        <f t="shared" si="19"/>
        <v>Needs Optimization</v>
      </c>
      <c r="O98" t="str">
        <f t="shared" si="20"/>
        <v>NO</v>
      </c>
      <c r="P98" s="8" t="str">
        <f t="shared" si="21"/>
        <v>NO</v>
      </c>
    </row>
    <row r="99" spans="1:16" x14ac:dyDescent="0.25">
      <c r="A99" s="15" t="s">
        <v>4</v>
      </c>
      <c r="B99" s="19" t="s">
        <v>17</v>
      </c>
      <c r="C99" s="19" t="s">
        <v>147</v>
      </c>
      <c r="D99" s="2">
        <v>6382.91</v>
      </c>
      <c r="E99">
        <v>13886</v>
      </c>
      <c r="F99">
        <v>3890</v>
      </c>
      <c r="G99" s="2">
        <v>3824.02</v>
      </c>
      <c r="H99" s="16">
        <v>6033.43</v>
      </c>
      <c r="I99" s="7">
        <f t="shared" si="15"/>
        <v>0.45966513034711221</v>
      </c>
      <c r="J99" s="3">
        <f t="shared" si="16"/>
        <v>0.59910291700807317</v>
      </c>
      <c r="K99" s="2">
        <f t="shared" si="17"/>
        <v>0.43449733544577274</v>
      </c>
      <c r="L99" s="4">
        <f t="shared" si="18"/>
        <v>0.28013826875990205</v>
      </c>
      <c r="M99" s="3">
        <f t="shared" si="22"/>
        <v>0.94524754383188858</v>
      </c>
      <c r="N99" t="str">
        <f t="shared" si="19"/>
        <v>Needs Optimization</v>
      </c>
      <c r="O99" t="str">
        <f t="shared" si="20"/>
        <v>NO</v>
      </c>
      <c r="P99" s="8" t="str">
        <f t="shared" si="21"/>
        <v>NO</v>
      </c>
    </row>
    <row r="100" spans="1:16" x14ac:dyDescent="0.25">
      <c r="A100" s="15" t="s">
        <v>31</v>
      </c>
      <c r="B100" s="19" t="s">
        <v>22</v>
      </c>
      <c r="C100" s="19" t="s">
        <v>148</v>
      </c>
      <c r="D100" s="2">
        <v>21683.65</v>
      </c>
      <c r="E100">
        <v>15377</v>
      </c>
      <c r="F100">
        <v>1975</v>
      </c>
      <c r="G100" s="2">
        <v>946.01</v>
      </c>
      <c r="H100" s="16">
        <v>2128.0500000000002</v>
      </c>
      <c r="I100" s="7">
        <f t="shared" ref="I100:I131" si="23">IFERROR(D100/E100,"")</f>
        <v>1.4101352669571439</v>
      </c>
      <c r="J100" s="3">
        <f t="shared" ref="J100:J131" si="24">IFERROR(G100/D100,"")</f>
        <v>4.362780251479801E-2</v>
      </c>
      <c r="K100" s="2">
        <f t="shared" ref="K100:K131" si="25">IFERROR(H100/E100,"")</f>
        <v>0.1383917539181895</v>
      </c>
      <c r="L100" s="4">
        <f t="shared" ref="L100:L131" si="26">IFERROR(F100/E100,"")</f>
        <v>0.12843857709566237</v>
      </c>
      <c r="M100" s="3">
        <f t="shared" si="22"/>
        <v>9.8140765046475106E-2</v>
      </c>
      <c r="N100" t="str">
        <f t="shared" ref="N100:N131" si="27">IF(J100&gt;1,"Profitable",IF(J100&gt;=0.8,"Breakeven","Needs Optimization"))</f>
        <v>Needs Optimization</v>
      </c>
      <c r="O100" t="str">
        <f t="shared" ref="O100:O131" si="28">IF(K100&gt;I100,"YES","NO")</f>
        <v>NO</v>
      </c>
      <c r="P100" s="8" t="str">
        <f t="shared" ref="P100:P131" si="29">IF(AND(N100="Profitable",O100="YES"),"YES","NO")</f>
        <v>NO</v>
      </c>
    </row>
    <row r="101" spans="1:16" x14ac:dyDescent="0.25">
      <c r="A101" s="15" t="s">
        <v>27</v>
      </c>
      <c r="B101" s="19" t="s">
        <v>18</v>
      </c>
      <c r="C101" s="19" t="s">
        <v>149</v>
      </c>
      <c r="D101" s="2">
        <v>24509.360000000001</v>
      </c>
      <c r="E101">
        <v>6982</v>
      </c>
      <c r="F101">
        <v>1885</v>
      </c>
      <c r="G101" s="2">
        <v>3009.66</v>
      </c>
      <c r="H101" s="16">
        <v>7193.37</v>
      </c>
      <c r="I101" s="7">
        <f t="shared" si="23"/>
        <v>3.5103637926095677</v>
      </c>
      <c r="J101" s="3">
        <f t="shared" si="24"/>
        <v>0.122796352087529</v>
      </c>
      <c r="K101" s="2">
        <f t="shared" si="25"/>
        <v>1.0302735605843598</v>
      </c>
      <c r="L101" s="4">
        <f t="shared" si="26"/>
        <v>0.26997994843884277</v>
      </c>
      <c r="M101" s="3">
        <f t="shared" si="22"/>
        <v>0.29349481177803094</v>
      </c>
      <c r="N101" t="str">
        <f t="shared" si="27"/>
        <v>Needs Optimization</v>
      </c>
      <c r="O101" t="str">
        <f t="shared" si="28"/>
        <v>NO</v>
      </c>
      <c r="P101" s="8" t="str">
        <f t="shared" si="29"/>
        <v>NO</v>
      </c>
    </row>
    <row r="102" spans="1:16" x14ac:dyDescent="0.25">
      <c r="A102" s="15" t="s">
        <v>11</v>
      </c>
      <c r="B102" s="19" t="s">
        <v>18</v>
      </c>
      <c r="C102" s="19" t="s">
        <v>150</v>
      </c>
      <c r="D102" s="2">
        <v>6327.49</v>
      </c>
      <c r="E102">
        <v>8257</v>
      </c>
      <c r="F102">
        <v>3681</v>
      </c>
      <c r="G102" s="2">
        <v>11354.15</v>
      </c>
      <c r="H102" s="16">
        <v>26769.67</v>
      </c>
      <c r="I102" s="7">
        <f t="shared" si="23"/>
        <v>0.7663182754026886</v>
      </c>
      <c r="J102" s="3">
        <f t="shared" si="24"/>
        <v>1.7944161112858337</v>
      </c>
      <c r="K102" s="2">
        <f t="shared" si="25"/>
        <v>3.2420576480561945</v>
      </c>
      <c r="L102" s="4">
        <f t="shared" si="26"/>
        <v>0.44580356061523557</v>
      </c>
      <c r="M102" s="3">
        <f t="shared" si="22"/>
        <v>4.2306933713052093</v>
      </c>
      <c r="N102" t="str">
        <f t="shared" si="27"/>
        <v>Profitable</v>
      </c>
      <c r="O102" t="str">
        <f t="shared" si="28"/>
        <v>YES</v>
      </c>
      <c r="P102" s="8" t="str">
        <f t="shared" si="29"/>
        <v>YES</v>
      </c>
    </row>
    <row r="103" spans="1:16" x14ac:dyDescent="0.25">
      <c r="A103" s="15" t="s">
        <v>16</v>
      </c>
      <c r="B103" s="19" t="s">
        <v>18</v>
      </c>
      <c r="C103" s="19" t="s">
        <v>151</v>
      </c>
      <c r="D103" s="2">
        <v>10514.55</v>
      </c>
      <c r="E103">
        <v>13689</v>
      </c>
      <c r="F103">
        <v>6530</v>
      </c>
      <c r="G103" s="2">
        <v>7975.18</v>
      </c>
      <c r="H103" s="16">
        <v>11137.58</v>
      </c>
      <c r="I103" s="7">
        <f t="shared" si="23"/>
        <v>0.76810212579443349</v>
      </c>
      <c r="J103" s="3">
        <f t="shared" si="24"/>
        <v>0.758489902088059</v>
      </c>
      <c r="K103" s="2">
        <f t="shared" si="25"/>
        <v>0.81361531156402955</v>
      </c>
      <c r="L103" s="4">
        <f t="shared" si="26"/>
        <v>0.47702534882022063</v>
      </c>
      <c r="M103" s="3">
        <f t="shared" si="22"/>
        <v>1.0592540812493165</v>
      </c>
      <c r="N103" t="str">
        <f t="shared" si="27"/>
        <v>Needs Optimization</v>
      </c>
      <c r="O103" t="str">
        <f t="shared" si="28"/>
        <v>YES</v>
      </c>
      <c r="P103" s="8" t="str">
        <f t="shared" si="29"/>
        <v>NO</v>
      </c>
    </row>
    <row r="104" spans="1:16" x14ac:dyDescent="0.25">
      <c r="A104" s="15" t="s">
        <v>23</v>
      </c>
      <c r="B104" s="19" t="s">
        <v>22</v>
      </c>
      <c r="C104" s="19" t="s">
        <v>152</v>
      </c>
      <c r="D104" s="2">
        <v>22566.95</v>
      </c>
      <c r="E104">
        <v>8704</v>
      </c>
      <c r="F104">
        <v>960</v>
      </c>
      <c r="G104" s="2">
        <v>853.53</v>
      </c>
      <c r="H104" s="16">
        <v>1990.96</v>
      </c>
      <c r="I104" s="7">
        <f t="shared" si="23"/>
        <v>2.5927102481617648</v>
      </c>
      <c r="J104" s="3">
        <f t="shared" si="24"/>
        <v>3.7822124832996927E-2</v>
      </c>
      <c r="K104" s="2">
        <f t="shared" si="25"/>
        <v>0.22874080882352943</v>
      </c>
      <c r="L104" s="4">
        <f t="shared" si="26"/>
        <v>0.11029411764705882</v>
      </c>
      <c r="M104" s="3">
        <f t="shared" si="22"/>
        <v>8.8224593930504566E-2</v>
      </c>
      <c r="N104" t="str">
        <f t="shared" si="27"/>
        <v>Needs Optimization</v>
      </c>
      <c r="O104" t="str">
        <f t="shared" si="28"/>
        <v>NO</v>
      </c>
      <c r="P104" s="8" t="str">
        <f t="shared" si="29"/>
        <v>NO</v>
      </c>
    </row>
    <row r="105" spans="1:16" x14ac:dyDescent="0.25">
      <c r="A105" s="15" t="s">
        <v>27</v>
      </c>
      <c r="B105" s="19" t="s">
        <v>17</v>
      </c>
      <c r="C105" s="19" t="s">
        <v>153</v>
      </c>
      <c r="D105" s="2">
        <v>29988.03</v>
      </c>
      <c r="E105">
        <v>9331</v>
      </c>
      <c r="F105">
        <v>3083</v>
      </c>
      <c r="G105" s="2">
        <v>2818.19</v>
      </c>
      <c r="H105" s="16">
        <v>5418.69</v>
      </c>
      <c r="I105" s="7">
        <f t="shared" si="23"/>
        <v>3.2138066659522022</v>
      </c>
      <c r="J105" s="3">
        <f t="shared" si="24"/>
        <v>9.3977163554925081E-2</v>
      </c>
      <c r="K105" s="2">
        <f t="shared" si="25"/>
        <v>0.5807191083485157</v>
      </c>
      <c r="L105" s="4">
        <f t="shared" si="26"/>
        <v>0.33040402957882326</v>
      </c>
      <c r="M105" s="3">
        <f t="shared" si="22"/>
        <v>0.18069509734384021</v>
      </c>
      <c r="N105" t="str">
        <f t="shared" si="27"/>
        <v>Needs Optimization</v>
      </c>
      <c r="O105" t="str">
        <f t="shared" si="28"/>
        <v>NO</v>
      </c>
      <c r="P105" s="8" t="str">
        <f t="shared" si="29"/>
        <v>NO</v>
      </c>
    </row>
    <row r="106" spans="1:16" x14ac:dyDescent="0.25">
      <c r="A106" s="15" t="s">
        <v>11</v>
      </c>
      <c r="B106" s="19" t="s">
        <v>17</v>
      </c>
      <c r="C106" s="19" t="s">
        <v>154</v>
      </c>
      <c r="D106" s="2">
        <v>2215.2399999999998</v>
      </c>
      <c r="E106">
        <v>10376</v>
      </c>
      <c r="F106">
        <v>4961</v>
      </c>
      <c r="G106" s="2">
        <v>11908.14</v>
      </c>
      <c r="H106" s="16">
        <v>19616.71</v>
      </c>
      <c r="I106" s="7">
        <f t="shared" si="23"/>
        <v>0.21349653045489589</v>
      </c>
      <c r="J106" s="3">
        <f t="shared" si="24"/>
        <v>5.3755529874866834</v>
      </c>
      <c r="K106" s="2">
        <f t="shared" si="25"/>
        <v>1.89058500385505</v>
      </c>
      <c r="L106" s="4">
        <f t="shared" si="26"/>
        <v>0.47812259059367773</v>
      </c>
      <c r="M106" s="3">
        <f t="shared" si="22"/>
        <v>8.8553429876672514</v>
      </c>
      <c r="N106" t="str">
        <f t="shared" si="27"/>
        <v>Profitable</v>
      </c>
      <c r="O106" t="str">
        <f t="shared" si="28"/>
        <v>YES</v>
      </c>
      <c r="P106" s="8" t="str">
        <f t="shared" si="29"/>
        <v>YES</v>
      </c>
    </row>
    <row r="107" spans="1:16" x14ac:dyDescent="0.25">
      <c r="A107" s="15" t="s">
        <v>28</v>
      </c>
      <c r="B107" s="19" t="s">
        <v>22</v>
      </c>
      <c r="C107" s="19" t="s">
        <v>155</v>
      </c>
      <c r="D107" s="2">
        <v>10989.63</v>
      </c>
      <c r="E107">
        <v>3927</v>
      </c>
      <c r="F107">
        <v>1740</v>
      </c>
      <c r="G107" s="2">
        <v>2023.82</v>
      </c>
      <c r="H107" s="16">
        <v>3330.93</v>
      </c>
      <c r="I107" s="7">
        <f t="shared" si="23"/>
        <v>2.7984797555385788</v>
      </c>
      <c r="J107" s="3">
        <f t="shared" si="24"/>
        <v>0.18415724642230905</v>
      </c>
      <c r="K107" s="2">
        <f t="shared" si="25"/>
        <v>0.84821237585943465</v>
      </c>
      <c r="L107" s="4">
        <f t="shared" si="26"/>
        <v>0.44308632543926663</v>
      </c>
      <c r="M107" s="3">
        <f t="shared" si="22"/>
        <v>0.30309755651464154</v>
      </c>
      <c r="N107" t="str">
        <f t="shared" si="27"/>
        <v>Needs Optimization</v>
      </c>
      <c r="O107" t="str">
        <f t="shared" si="28"/>
        <v>NO</v>
      </c>
      <c r="P107" s="8" t="str">
        <f t="shared" si="29"/>
        <v>NO</v>
      </c>
    </row>
    <row r="108" spans="1:16" x14ac:dyDescent="0.25">
      <c r="A108" s="15" t="s">
        <v>20</v>
      </c>
      <c r="B108" s="19" t="s">
        <v>18</v>
      </c>
      <c r="C108" s="19" t="s">
        <v>156</v>
      </c>
      <c r="D108" s="2">
        <v>3027.52</v>
      </c>
      <c r="E108">
        <v>3385</v>
      </c>
      <c r="F108">
        <v>764</v>
      </c>
      <c r="G108" s="2">
        <v>1145.57</v>
      </c>
      <c r="H108" s="16">
        <v>2044.85</v>
      </c>
      <c r="I108" s="7">
        <f t="shared" si="23"/>
        <v>0.89439290989660269</v>
      </c>
      <c r="J108" s="3">
        <f t="shared" si="24"/>
        <v>0.37838560934362114</v>
      </c>
      <c r="K108" s="2">
        <f t="shared" si="25"/>
        <v>0.60409158050221567</v>
      </c>
      <c r="L108" s="4">
        <f t="shared" si="26"/>
        <v>0.22570162481536188</v>
      </c>
      <c r="M108" s="3">
        <f t="shared" si="22"/>
        <v>0.67542080646866076</v>
      </c>
      <c r="N108" t="str">
        <f t="shared" si="27"/>
        <v>Needs Optimization</v>
      </c>
      <c r="O108" t="str">
        <f t="shared" si="28"/>
        <v>NO</v>
      </c>
      <c r="P108" s="8" t="str">
        <f t="shared" si="29"/>
        <v>NO</v>
      </c>
    </row>
    <row r="109" spans="1:16" x14ac:dyDescent="0.25">
      <c r="A109" s="15" t="s">
        <v>29</v>
      </c>
      <c r="B109" s="19" t="s">
        <v>17</v>
      </c>
      <c r="C109" s="19" t="s">
        <v>157</v>
      </c>
      <c r="D109" s="2">
        <v>20414.490000000002</v>
      </c>
      <c r="E109">
        <v>18279</v>
      </c>
      <c r="F109">
        <v>5205</v>
      </c>
      <c r="G109" s="2">
        <v>2084.21</v>
      </c>
      <c r="H109" s="16">
        <v>4266.71</v>
      </c>
      <c r="I109" s="7">
        <f t="shared" si="23"/>
        <v>1.1168275069752176</v>
      </c>
      <c r="J109" s="3">
        <f t="shared" si="24"/>
        <v>0.10209463964076496</v>
      </c>
      <c r="K109" s="2">
        <f t="shared" si="25"/>
        <v>0.23342141254992069</v>
      </c>
      <c r="L109" s="4">
        <f t="shared" si="26"/>
        <v>0.28475299524043984</v>
      </c>
      <c r="M109" s="3">
        <f t="shared" si="22"/>
        <v>0.20900399667099201</v>
      </c>
      <c r="N109" t="str">
        <f t="shared" si="27"/>
        <v>Needs Optimization</v>
      </c>
      <c r="O109" t="str">
        <f t="shared" si="28"/>
        <v>NO</v>
      </c>
      <c r="P109" s="8" t="str">
        <f t="shared" si="29"/>
        <v>NO</v>
      </c>
    </row>
    <row r="110" spans="1:16" x14ac:dyDescent="0.25">
      <c r="A110" s="15" t="s">
        <v>5</v>
      </c>
      <c r="B110" s="19" t="s">
        <v>18</v>
      </c>
      <c r="C110" s="19" t="s">
        <v>158</v>
      </c>
      <c r="D110" s="2">
        <v>14377.15</v>
      </c>
      <c r="E110">
        <v>2191</v>
      </c>
      <c r="F110">
        <v>397</v>
      </c>
      <c r="G110" s="2">
        <v>845.32</v>
      </c>
      <c r="H110" s="16">
        <v>1543.33</v>
      </c>
      <c r="I110" s="7">
        <f t="shared" si="23"/>
        <v>6.5619123687813783</v>
      </c>
      <c r="J110" s="3">
        <f t="shared" si="24"/>
        <v>5.8796075717370971E-2</v>
      </c>
      <c r="K110" s="2">
        <f t="shared" si="25"/>
        <v>0.70439525330899133</v>
      </c>
      <c r="L110" s="4">
        <f t="shared" si="26"/>
        <v>0.1811958010041077</v>
      </c>
      <c r="M110" s="3">
        <f t="shared" si="22"/>
        <v>0.10734603172395085</v>
      </c>
      <c r="N110" t="str">
        <f t="shared" si="27"/>
        <v>Needs Optimization</v>
      </c>
      <c r="O110" t="str">
        <f t="shared" si="28"/>
        <v>NO</v>
      </c>
      <c r="P110" s="8" t="str">
        <f t="shared" si="29"/>
        <v>NO</v>
      </c>
    </row>
    <row r="111" spans="1:16" x14ac:dyDescent="0.25">
      <c r="A111" s="15" t="s">
        <v>31</v>
      </c>
      <c r="B111" s="19" t="s">
        <v>22</v>
      </c>
      <c r="C111" s="19" t="s">
        <v>159</v>
      </c>
      <c r="D111" s="2">
        <v>5399.93</v>
      </c>
      <c r="E111">
        <v>8341</v>
      </c>
      <c r="F111">
        <v>3202</v>
      </c>
      <c r="G111" s="2">
        <v>827.42</v>
      </c>
      <c r="H111" s="16">
        <v>1480.74</v>
      </c>
      <c r="I111" s="7">
        <f t="shared" si="23"/>
        <v>0.64739599568397077</v>
      </c>
      <c r="J111" s="3">
        <f t="shared" si="24"/>
        <v>0.15322791221367682</v>
      </c>
      <c r="K111" s="2">
        <f t="shared" si="25"/>
        <v>0.17752547656156337</v>
      </c>
      <c r="L111" s="4">
        <f t="shared" si="26"/>
        <v>0.38388682412180791</v>
      </c>
      <c r="M111" s="3">
        <f t="shared" si="22"/>
        <v>0.27421466574566705</v>
      </c>
      <c r="N111" t="str">
        <f t="shared" si="27"/>
        <v>Needs Optimization</v>
      </c>
      <c r="O111" t="str">
        <f t="shared" si="28"/>
        <v>NO</v>
      </c>
      <c r="P111" s="8" t="str">
        <f t="shared" si="29"/>
        <v>NO</v>
      </c>
    </row>
    <row r="112" spans="1:16" x14ac:dyDescent="0.25">
      <c r="A112" s="15" t="s">
        <v>30</v>
      </c>
      <c r="B112" s="19" t="s">
        <v>17</v>
      </c>
      <c r="C112" s="19" t="s">
        <v>160</v>
      </c>
      <c r="D112" s="2">
        <v>14920.54</v>
      </c>
      <c r="E112">
        <v>4349</v>
      </c>
      <c r="F112">
        <v>1561</v>
      </c>
      <c r="G112" s="2">
        <v>1462.31</v>
      </c>
      <c r="H112" s="16">
        <v>2413.15</v>
      </c>
      <c r="I112" s="7">
        <f t="shared" si="23"/>
        <v>3.4307978845711662</v>
      </c>
      <c r="J112" s="3">
        <f t="shared" si="24"/>
        <v>9.8006506466924104E-2</v>
      </c>
      <c r="K112" s="2">
        <f t="shared" si="25"/>
        <v>0.55487468383536442</v>
      </c>
      <c r="L112" s="4">
        <f t="shared" si="26"/>
        <v>0.35893308806622209</v>
      </c>
      <c r="M112" s="3">
        <f t="shared" si="22"/>
        <v>0.16173342251687939</v>
      </c>
      <c r="N112" t="str">
        <f t="shared" si="27"/>
        <v>Needs Optimization</v>
      </c>
      <c r="O112" t="str">
        <f t="shared" si="28"/>
        <v>NO</v>
      </c>
      <c r="P112" s="8" t="str">
        <f t="shared" si="29"/>
        <v>NO</v>
      </c>
    </row>
    <row r="113" spans="1:16" x14ac:dyDescent="0.25">
      <c r="A113" s="15" t="s">
        <v>31</v>
      </c>
      <c r="B113" s="19" t="s">
        <v>22</v>
      </c>
      <c r="C113" s="19" t="s">
        <v>161</v>
      </c>
      <c r="D113" s="2">
        <v>13633.73</v>
      </c>
      <c r="E113">
        <v>16310</v>
      </c>
      <c r="F113">
        <v>8026</v>
      </c>
      <c r="G113" s="2">
        <v>6448.7</v>
      </c>
      <c r="H113" s="16">
        <v>11351.67</v>
      </c>
      <c r="I113" s="7">
        <f t="shared" si="23"/>
        <v>0.83591232372777435</v>
      </c>
      <c r="J113" s="3">
        <f t="shared" si="24"/>
        <v>0.47299601796426949</v>
      </c>
      <c r="K113" s="2">
        <f t="shared" si="25"/>
        <v>0.69599448191293689</v>
      </c>
      <c r="L113" s="4">
        <f t="shared" si="26"/>
        <v>0.4920907418761496</v>
      </c>
      <c r="M113" s="3">
        <f t="shared" si="22"/>
        <v>0.83261660602050946</v>
      </c>
      <c r="N113" t="str">
        <f t="shared" si="27"/>
        <v>Needs Optimization</v>
      </c>
      <c r="O113" t="str">
        <f t="shared" si="28"/>
        <v>NO</v>
      </c>
      <c r="P113" s="8" t="str">
        <f t="shared" si="29"/>
        <v>NO</v>
      </c>
    </row>
    <row r="114" spans="1:16" x14ac:dyDescent="0.25">
      <c r="A114" s="15" t="s">
        <v>11</v>
      </c>
      <c r="B114" s="19" t="s">
        <v>18</v>
      </c>
      <c r="C114" s="19" t="s">
        <v>162</v>
      </c>
      <c r="D114" s="2">
        <v>22896.19</v>
      </c>
      <c r="E114">
        <v>4973</v>
      </c>
      <c r="F114">
        <v>2216</v>
      </c>
      <c r="G114" s="2">
        <v>2532.59</v>
      </c>
      <c r="H114" s="16">
        <v>4553.42</v>
      </c>
      <c r="I114" s="7">
        <f t="shared" si="23"/>
        <v>4.6041001407601039</v>
      </c>
      <c r="J114" s="3">
        <f t="shared" si="24"/>
        <v>0.11061185288906147</v>
      </c>
      <c r="K114" s="2">
        <f t="shared" si="25"/>
        <v>0.9156283933239493</v>
      </c>
      <c r="L114" s="4">
        <f t="shared" si="26"/>
        <v>0.4456062738789463</v>
      </c>
      <c r="M114" s="3">
        <f t="shared" si="22"/>
        <v>0.19887238881228714</v>
      </c>
      <c r="N114" t="str">
        <f t="shared" si="27"/>
        <v>Needs Optimization</v>
      </c>
      <c r="O114" t="str">
        <f t="shared" si="28"/>
        <v>NO</v>
      </c>
      <c r="P114" s="8" t="str">
        <f t="shared" si="29"/>
        <v>NO</v>
      </c>
    </row>
    <row r="115" spans="1:16" x14ac:dyDescent="0.25">
      <c r="A115" s="15" t="s">
        <v>29</v>
      </c>
      <c r="B115" s="19" t="s">
        <v>22</v>
      </c>
      <c r="C115" s="19" t="s">
        <v>163</v>
      </c>
      <c r="D115" s="2">
        <v>24975.39</v>
      </c>
      <c r="E115">
        <v>9768</v>
      </c>
      <c r="F115">
        <v>3813</v>
      </c>
      <c r="G115" s="2">
        <v>7943.59</v>
      </c>
      <c r="H115" s="16">
        <v>16617.43</v>
      </c>
      <c r="I115" s="7">
        <f t="shared" si="23"/>
        <v>2.5568581081081079</v>
      </c>
      <c r="J115" s="3">
        <f t="shared" si="24"/>
        <v>0.31805669501056844</v>
      </c>
      <c r="K115" s="2">
        <f t="shared" si="25"/>
        <v>1.7012110974610974</v>
      </c>
      <c r="L115" s="4">
        <f t="shared" si="26"/>
        <v>0.39035626535626533</v>
      </c>
      <c r="M115" s="3">
        <f t="shared" si="22"/>
        <v>0.6653521726787851</v>
      </c>
      <c r="N115" t="str">
        <f t="shared" si="27"/>
        <v>Needs Optimization</v>
      </c>
      <c r="O115" t="str">
        <f t="shared" si="28"/>
        <v>NO</v>
      </c>
      <c r="P115" s="8" t="str">
        <f t="shared" si="29"/>
        <v>NO</v>
      </c>
    </row>
    <row r="116" spans="1:16" x14ac:dyDescent="0.25">
      <c r="A116" s="15" t="s">
        <v>6</v>
      </c>
      <c r="B116" s="19" t="s">
        <v>22</v>
      </c>
      <c r="C116" s="19" t="s">
        <v>164</v>
      </c>
      <c r="D116" s="2">
        <v>17080.259999999998</v>
      </c>
      <c r="E116">
        <v>11809</v>
      </c>
      <c r="F116">
        <v>2751</v>
      </c>
      <c r="G116" s="2">
        <v>3898.3</v>
      </c>
      <c r="H116" s="16">
        <v>9431.64</v>
      </c>
      <c r="I116" s="7">
        <f t="shared" si="23"/>
        <v>1.4463764925057159</v>
      </c>
      <c r="J116" s="3">
        <f t="shared" si="24"/>
        <v>0.22823423062646592</v>
      </c>
      <c r="K116" s="2">
        <f t="shared" si="25"/>
        <v>0.7986823609111694</v>
      </c>
      <c r="L116" s="4">
        <f t="shared" si="26"/>
        <v>0.23295791345583877</v>
      </c>
      <c r="M116" s="3">
        <f t="shared" si="22"/>
        <v>0.55219534128871572</v>
      </c>
      <c r="N116" t="str">
        <f t="shared" si="27"/>
        <v>Needs Optimization</v>
      </c>
      <c r="O116" t="str">
        <f t="shared" si="28"/>
        <v>NO</v>
      </c>
      <c r="P116" s="8" t="str">
        <f t="shared" si="29"/>
        <v>NO</v>
      </c>
    </row>
    <row r="117" spans="1:16" x14ac:dyDescent="0.25">
      <c r="A117" s="15" t="s">
        <v>10</v>
      </c>
      <c r="B117" s="19" t="s">
        <v>18</v>
      </c>
      <c r="C117" s="19" t="s">
        <v>165</v>
      </c>
      <c r="D117" s="2">
        <v>8686.56</v>
      </c>
      <c r="E117">
        <v>13049</v>
      </c>
      <c r="F117">
        <v>2524</v>
      </c>
      <c r="G117" s="2">
        <v>1494.64</v>
      </c>
      <c r="H117" s="16">
        <v>3278.71</v>
      </c>
      <c r="I117" s="7">
        <f t="shared" si="23"/>
        <v>0.66568779216798213</v>
      </c>
      <c r="J117" s="3">
        <f t="shared" si="24"/>
        <v>0.17206350960564368</v>
      </c>
      <c r="K117" s="2">
        <f t="shared" si="25"/>
        <v>0.25126139934094566</v>
      </c>
      <c r="L117" s="4">
        <f t="shared" si="26"/>
        <v>0.19342478350831482</v>
      </c>
      <c r="M117" s="3">
        <f t="shared" si="22"/>
        <v>0.37744630785949795</v>
      </c>
      <c r="N117" t="str">
        <f t="shared" si="27"/>
        <v>Needs Optimization</v>
      </c>
      <c r="O117" t="str">
        <f t="shared" si="28"/>
        <v>NO</v>
      </c>
      <c r="P117" s="8" t="str">
        <f t="shared" si="29"/>
        <v>NO</v>
      </c>
    </row>
    <row r="118" spans="1:16" x14ac:dyDescent="0.25">
      <c r="A118" s="15" t="s">
        <v>31</v>
      </c>
      <c r="B118" s="19" t="s">
        <v>22</v>
      </c>
      <c r="C118" s="19" t="s">
        <v>166</v>
      </c>
      <c r="D118" s="2">
        <v>12810.21</v>
      </c>
      <c r="E118">
        <v>5484</v>
      </c>
      <c r="F118">
        <v>1634</v>
      </c>
      <c r="G118" s="2">
        <v>581.91999999999996</v>
      </c>
      <c r="H118" s="16">
        <v>1168.6199999999999</v>
      </c>
      <c r="I118" s="7">
        <f t="shared" si="23"/>
        <v>2.335924507658643</v>
      </c>
      <c r="J118" s="3">
        <f t="shared" si="24"/>
        <v>4.5426265455445307E-2</v>
      </c>
      <c r="K118" s="2">
        <f t="shared" si="25"/>
        <v>0.21309628008752735</v>
      </c>
      <c r="L118" s="4">
        <f t="shared" si="26"/>
        <v>0.29795769511305614</v>
      </c>
      <c r="M118" s="3">
        <f t="shared" si="22"/>
        <v>9.1225670773547041E-2</v>
      </c>
      <c r="N118" t="str">
        <f t="shared" si="27"/>
        <v>Needs Optimization</v>
      </c>
      <c r="O118" t="str">
        <f t="shared" si="28"/>
        <v>NO</v>
      </c>
      <c r="P118" s="8" t="str">
        <f t="shared" si="29"/>
        <v>NO</v>
      </c>
    </row>
    <row r="119" spans="1:16" x14ac:dyDescent="0.25">
      <c r="A119" s="15" t="s">
        <v>24</v>
      </c>
      <c r="B119" s="19" t="s">
        <v>22</v>
      </c>
      <c r="C119" s="19" t="s">
        <v>167</v>
      </c>
      <c r="D119" s="2">
        <v>4791.93</v>
      </c>
      <c r="E119">
        <v>15472</v>
      </c>
      <c r="F119">
        <v>1642</v>
      </c>
      <c r="G119" s="2">
        <v>1404.24</v>
      </c>
      <c r="H119" s="16">
        <v>3459.97</v>
      </c>
      <c r="I119" s="7">
        <f t="shared" si="23"/>
        <v>0.30971626163391935</v>
      </c>
      <c r="J119" s="3">
        <f t="shared" si="24"/>
        <v>0.29304267800239153</v>
      </c>
      <c r="K119" s="2">
        <f t="shared" si="25"/>
        <v>0.22362784384694931</v>
      </c>
      <c r="L119" s="4">
        <f t="shared" si="26"/>
        <v>0.10612719751809721</v>
      </c>
      <c r="M119" s="3">
        <f t="shared" si="22"/>
        <v>0.72204101478944804</v>
      </c>
      <c r="N119" t="str">
        <f t="shared" si="27"/>
        <v>Needs Optimization</v>
      </c>
      <c r="O119" t="str">
        <f t="shared" si="28"/>
        <v>NO</v>
      </c>
      <c r="P119" s="8" t="str">
        <f t="shared" si="29"/>
        <v>NO</v>
      </c>
    </row>
    <row r="120" spans="1:16" x14ac:dyDescent="0.25">
      <c r="A120" s="15" t="s">
        <v>14</v>
      </c>
      <c r="B120" s="19" t="s">
        <v>22</v>
      </c>
      <c r="C120" s="19" t="s">
        <v>168</v>
      </c>
      <c r="D120" s="2">
        <v>23882.71</v>
      </c>
      <c r="E120">
        <v>9184</v>
      </c>
      <c r="F120">
        <v>2162</v>
      </c>
      <c r="G120" s="2">
        <v>4182.24</v>
      </c>
      <c r="H120" s="16">
        <v>9711.66</v>
      </c>
      <c r="I120" s="7">
        <f t="shared" si="23"/>
        <v>2.6004692944250869</v>
      </c>
      <c r="J120" s="3">
        <f t="shared" si="24"/>
        <v>0.17511580553463155</v>
      </c>
      <c r="K120" s="2">
        <f t="shared" si="25"/>
        <v>1.0574542682926829</v>
      </c>
      <c r="L120" s="4">
        <f t="shared" si="26"/>
        <v>0.23540940766550522</v>
      </c>
      <c r="M120" s="3">
        <f t="shared" si="22"/>
        <v>0.40663978250374433</v>
      </c>
      <c r="N120" t="str">
        <f t="shared" si="27"/>
        <v>Needs Optimization</v>
      </c>
      <c r="O120" t="str">
        <f t="shared" si="28"/>
        <v>NO</v>
      </c>
      <c r="P120" s="8" t="str">
        <f t="shared" si="29"/>
        <v>NO</v>
      </c>
    </row>
    <row r="121" spans="1:16" x14ac:dyDescent="0.25">
      <c r="A121" s="15" t="s">
        <v>26</v>
      </c>
      <c r="B121" s="19" t="s">
        <v>18</v>
      </c>
      <c r="C121" s="19" t="s">
        <v>169</v>
      </c>
      <c r="D121" s="2">
        <v>12640.26</v>
      </c>
      <c r="E121">
        <v>10876</v>
      </c>
      <c r="F121">
        <v>3814</v>
      </c>
      <c r="G121" s="2">
        <v>7351.4</v>
      </c>
      <c r="H121" s="16">
        <v>14329.49</v>
      </c>
      <c r="I121" s="7">
        <f t="shared" si="23"/>
        <v>1.1622158881941891</v>
      </c>
      <c r="J121" s="3">
        <f t="shared" si="24"/>
        <v>0.5815861382598142</v>
      </c>
      <c r="K121" s="2">
        <f t="shared" si="25"/>
        <v>1.3175331004045605</v>
      </c>
      <c r="L121" s="4">
        <f t="shared" si="26"/>
        <v>0.35068039720485472</v>
      </c>
      <c r="M121" s="3">
        <f t="shared" si="22"/>
        <v>1.133638865023346</v>
      </c>
      <c r="N121" t="str">
        <f t="shared" si="27"/>
        <v>Needs Optimization</v>
      </c>
      <c r="O121" t="str">
        <f t="shared" si="28"/>
        <v>YES</v>
      </c>
      <c r="P121" s="8" t="str">
        <f t="shared" si="29"/>
        <v>NO</v>
      </c>
    </row>
    <row r="122" spans="1:16" x14ac:dyDescent="0.25">
      <c r="A122" s="15" t="s">
        <v>11</v>
      </c>
      <c r="B122" s="19" t="s">
        <v>17</v>
      </c>
      <c r="C122" s="19" t="s">
        <v>170</v>
      </c>
      <c r="D122" s="2">
        <v>8573.57</v>
      </c>
      <c r="E122">
        <v>9916</v>
      </c>
      <c r="F122">
        <v>4947</v>
      </c>
      <c r="G122" s="2">
        <v>7592.66</v>
      </c>
      <c r="H122" s="16">
        <v>10767.39</v>
      </c>
      <c r="I122" s="7">
        <f t="shared" si="23"/>
        <v>0.86461980637353764</v>
      </c>
      <c r="J122" s="3">
        <f t="shared" si="24"/>
        <v>0.88558908366059885</v>
      </c>
      <c r="K122" s="2">
        <f t="shared" si="25"/>
        <v>1.0858602258975392</v>
      </c>
      <c r="L122" s="4">
        <f t="shared" si="26"/>
        <v>0.49889068172650264</v>
      </c>
      <c r="M122" s="3">
        <f t="shared" si="22"/>
        <v>1.2558817388789034</v>
      </c>
      <c r="N122" t="str">
        <f t="shared" si="27"/>
        <v>Breakeven</v>
      </c>
      <c r="O122" t="str">
        <f t="shared" si="28"/>
        <v>YES</v>
      </c>
      <c r="P122" s="8" t="str">
        <f t="shared" si="29"/>
        <v>NO</v>
      </c>
    </row>
    <row r="123" spans="1:16" x14ac:dyDescent="0.25">
      <c r="A123" s="15" t="s">
        <v>7</v>
      </c>
      <c r="B123" s="19" t="s">
        <v>18</v>
      </c>
      <c r="C123" s="19" t="s">
        <v>171</v>
      </c>
      <c r="D123" s="2">
        <v>26432.22</v>
      </c>
      <c r="E123">
        <v>15038</v>
      </c>
      <c r="F123">
        <v>2504</v>
      </c>
      <c r="G123" s="2">
        <v>677.36</v>
      </c>
      <c r="H123" s="16">
        <v>1144.23</v>
      </c>
      <c r="I123" s="7">
        <f t="shared" si="23"/>
        <v>1.7576951722303498</v>
      </c>
      <c r="J123" s="3">
        <f t="shared" si="24"/>
        <v>2.5626300023229225E-2</v>
      </c>
      <c r="K123" s="2">
        <f t="shared" si="25"/>
        <v>7.6089240590504051E-2</v>
      </c>
      <c r="L123" s="4">
        <f t="shared" si="26"/>
        <v>0.1665115041893869</v>
      </c>
      <c r="M123" s="3">
        <f t="shared" si="22"/>
        <v>4.3289212937846308E-2</v>
      </c>
      <c r="N123" t="str">
        <f t="shared" si="27"/>
        <v>Needs Optimization</v>
      </c>
      <c r="O123" t="str">
        <f t="shared" si="28"/>
        <v>NO</v>
      </c>
      <c r="P123" s="8" t="str">
        <f t="shared" si="29"/>
        <v>NO</v>
      </c>
    </row>
    <row r="124" spans="1:16" x14ac:dyDescent="0.25">
      <c r="A124" s="15" t="s">
        <v>23</v>
      </c>
      <c r="B124" s="19" t="s">
        <v>22</v>
      </c>
      <c r="C124" s="19" t="s">
        <v>172</v>
      </c>
      <c r="D124" s="2">
        <v>12036.97</v>
      </c>
      <c r="E124">
        <v>14612</v>
      </c>
      <c r="F124">
        <v>2312</v>
      </c>
      <c r="G124" s="2">
        <v>3256.32</v>
      </c>
      <c r="H124" s="16">
        <v>7330.05</v>
      </c>
      <c r="I124" s="7">
        <f t="shared" si="23"/>
        <v>0.82377292636189425</v>
      </c>
      <c r="J124" s="3">
        <f t="shared" si="24"/>
        <v>0.27052655277864779</v>
      </c>
      <c r="K124" s="2">
        <f t="shared" si="25"/>
        <v>0.50164590747330962</v>
      </c>
      <c r="L124" s="4">
        <f t="shared" si="26"/>
        <v>0.15822611552148919</v>
      </c>
      <c r="M124" s="3">
        <f t="shared" si="22"/>
        <v>0.60896139144651862</v>
      </c>
      <c r="N124" t="str">
        <f t="shared" si="27"/>
        <v>Needs Optimization</v>
      </c>
      <c r="O124" t="str">
        <f t="shared" si="28"/>
        <v>NO</v>
      </c>
      <c r="P124" s="8" t="str">
        <f t="shared" si="29"/>
        <v>NO</v>
      </c>
    </row>
    <row r="125" spans="1:16" x14ac:dyDescent="0.25">
      <c r="A125" s="15" t="s">
        <v>12</v>
      </c>
      <c r="B125" s="19" t="s">
        <v>17</v>
      </c>
      <c r="C125" s="19" t="s">
        <v>173</v>
      </c>
      <c r="D125" s="2">
        <v>4211.1099999999997</v>
      </c>
      <c r="E125">
        <v>13035</v>
      </c>
      <c r="F125">
        <v>4534</v>
      </c>
      <c r="G125" s="2">
        <v>5375.3</v>
      </c>
      <c r="H125" s="16">
        <v>7911.05</v>
      </c>
      <c r="I125" s="7">
        <f t="shared" si="23"/>
        <v>0.32306175680859223</v>
      </c>
      <c r="J125" s="3">
        <f t="shared" si="24"/>
        <v>1.2764568011759372</v>
      </c>
      <c r="K125" s="2">
        <f t="shared" si="25"/>
        <v>0.6069083237437668</v>
      </c>
      <c r="L125" s="4">
        <f t="shared" si="26"/>
        <v>0.34783275795934021</v>
      </c>
      <c r="M125" s="3">
        <f t="shared" si="22"/>
        <v>1.8786139521408847</v>
      </c>
      <c r="N125" t="str">
        <f t="shared" si="27"/>
        <v>Profitable</v>
      </c>
      <c r="O125" t="str">
        <f t="shared" si="28"/>
        <v>YES</v>
      </c>
      <c r="P125" s="8" t="str">
        <f t="shared" si="29"/>
        <v>YES</v>
      </c>
    </row>
    <row r="126" spans="1:16" x14ac:dyDescent="0.25">
      <c r="A126" s="15" t="s">
        <v>16</v>
      </c>
      <c r="B126" s="19" t="s">
        <v>18</v>
      </c>
      <c r="C126" s="19" t="s">
        <v>174</v>
      </c>
      <c r="D126" s="2">
        <v>9111.3700000000008</v>
      </c>
      <c r="E126">
        <v>8866</v>
      </c>
      <c r="F126">
        <v>3251</v>
      </c>
      <c r="G126" s="2">
        <v>6114.02</v>
      </c>
      <c r="H126" s="16">
        <v>10058.530000000001</v>
      </c>
      <c r="I126" s="7">
        <f t="shared" si="23"/>
        <v>1.0276753891270021</v>
      </c>
      <c r="J126" s="3">
        <f t="shared" si="24"/>
        <v>0.67103190848357597</v>
      </c>
      <c r="K126" s="2">
        <f t="shared" si="25"/>
        <v>1.1345059778930748</v>
      </c>
      <c r="L126" s="4">
        <f t="shared" si="26"/>
        <v>0.36668170539138278</v>
      </c>
      <c r="M126" s="3">
        <f t="shared" si="22"/>
        <v>1.1039536315614449</v>
      </c>
      <c r="N126" t="str">
        <f t="shared" si="27"/>
        <v>Needs Optimization</v>
      </c>
      <c r="O126" t="str">
        <f t="shared" si="28"/>
        <v>YES</v>
      </c>
      <c r="P126" s="8" t="str">
        <f t="shared" si="29"/>
        <v>NO</v>
      </c>
    </row>
    <row r="127" spans="1:16" x14ac:dyDescent="0.25">
      <c r="A127" s="15" t="s">
        <v>13</v>
      </c>
      <c r="B127" s="19" t="s">
        <v>18</v>
      </c>
      <c r="C127" s="19" t="s">
        <v>175</v>
      </c>
      <c r="D127" s="2">
        <v>18508.43</v>
      </c>
      <c r="E127">
        <v>17691</v>
      </c>
      <c r="F127">
        <v>5992</v>
      </c>
      <c r="G127" s="2">
        <v>18971.43</v>
      </c>
      <c r="H127" s="16">
        <v>31407.119999999999</v>
      </c>
      <c r="I127" s="7">
        <f t="shared" si="23"/>
        <v>1.0462059804420327</v>
      </c>
      <c r="J127" s="3">
        <f t="shared" si="24"/>
        <v>1.0250156280138294</v>
      </c>
      <c r="K127" s="2">
        <f t="shared" si="25"/>
        <v>1.7753162625063592</v>
      </c>
      <c r="L127" s="4">
        <f t="shared" si="26"/>
        <v>0.33870329546096883</v>
      </c>
      <c r="M127" s="3">
        <f t="shared" si="22"/>
        <v>1.6969089220425504</v>
      </c>
      <c r="N127" t="str">
        <f t="shared" si="27"/>
        <v>Profitable</v>
      </c>
      <c r="O127" t="str">
        <f t="shared" si="28"/>
        <v>YES</v>
      </c>
      <c r="P127" s="8" t="str">
        <f t="shared" si="29"/>
        <v>YES</v>
      </c>
    </row>
    <row r="128" spans="1:16" x14ac:dyDescent="0.25">
      <c r="A128" s="15" t="s">
        <v>16</v>
      </c>
      <c r="B128" s="19" t="s">
        <v>22</v>
      </c>
      <c r="C128" s="19" t="s">
        <v>176</v>
      </c>
      <c r="D128" s="2">
        <v>7578.08</v>
      </c>
      <c r="E128">
        <v>13105</v>
      </c>
      <c r="F128">
        <v>5783</v>
      </c>
      <c r="G128" s="2">
        <v>2341.69</v>
      </c>
      <c r="H128" s="16">
        <v>4052.88</v>
      </c>
      <c r="I128" s="7">
        <f t="shared" si="23"/>
        <v>0.57825867989317059</v>
      </c>
      <c r="J128" s="3">
        <f t="shared" si="24"/>
        <v>0.30900835040010133</v>
      </c>
      <c r="K128" s="2">
        <f t="shared" si="25"/>
        <v>0.30926211369706219</v>
      </c>
      <c r="L128" s="4">
        <f t="shared" si="26"/>
        <v>0.44128195345288057</v>
      </c>
      <c r="M128" s="3">
        <f t="shared" si="22"/>
        <v>0.53481620674366059</v>
      </c>
      <c r="N128" t="str">
        <f t="shared" si="27"/>
        <v>Needs Optimization</v>
      </c>
      <c r="O128" t="str">
        <f t="shared" si="28"/>
        <v>NO</v>
      </c>
      <c r="P128" s="8" t="str">
        <f t="shared" si="29"/>
        <v>NO</v>
      </c>
    </row>
    <row r="129" spans="1:16" x14ac:dyDescent="0.25">
      <c r="A129" s="15" t="s">
        <v>15</v>
      </c>
      <c r="B129" s="19" t="s">
        <v>18</v>
      </c>
      <c r="C129" s="19" t="s">
        <v>177</v>
      </c>
      <c r="D129" s="2">
        <v>10266.459999999999</v>
      </c>
      <c r="E129">
        <v>13469</v>
      </c>
      <c r="F129">
        <v>2825</v>
      </c>
      <c r="G129" s="2">
        <v>4858.07</v>
      </c>
      <c r="H129" s="16">
        <v>10656.68</v>
      </c>
      <c r="I129" s="7">
        <f t="shared" si="23"/>
        <v>0.76222882173880757</v>
      </c>
      <c r="J129" s="3">
        <f t="shared" si="24"/>
        <v>0.47319816178117874</v>
      </c>
      <c r="K129" s="2">
        <f t="shared" si="25"/>
        <v>0.79120053456084349</v>
      </c>
      <c r="L129" s="4">
        <f t="shared" si="26"/>
        <v>0.20974088648006534</v>
      </c>
      <c r="M129" s="3">
        <f t="shared" si="22"/>
        <v>1.038009206678836</v>
      </c>
      <c r="N129" t="str">
        <f t="shared" si="27"/>
        <v>Needs Optimization</v>
      </c>
      <c r="O129" t="str">
        <f t="shared" si="28"/>
        <v>YES</v>
      </c>
      <c r="P129" s="8" t="str">
        <f t="shared" si="29"/>
        <v>NO</v>
      </c>
    </row>
    <row r="130" spans="1:16" x14ac:dyDescent="0.25">
      <c r="A130" s="15" t="s">
        <v>23</v>
      </c>
      <c r="B130" s="19" t="s">
        <v>18</v>
      </c>
      <c r="C130" s="19" t="s">
        <v>178</v>
      </c>
      <c r="D130" s="2">
        <v>22864.82</v>
      </c>
      <c r="E130">
        <v>9878</v>
      </c>
      <c r="F130">
        <v>4052</v>
      </c>
      <c r="G130" s="2">
        <v>4209.8</v>
      </c>
      <c r="H130" s="16">
        <v>6579.1</v>
      </c>
      <c r="I130" s="7">
        <f t="shared" si="23"/>
        <v>2.3147216035634743</v>
      </c>
      <c r="J130" s="3">
        <f t="shared" si="24"/>
        <v>0.18411690973294345</v>
      </c>
      <c r="K130" s="2">
        <f t="shared" si="25"/>
        <v>0.66603563474387528</v>
      </c>
      <c r="L130" s="4">
        <f t="shared" si="26"/>
        <v>0.41020449483701155</v>
      </c>
      <c r="M130" s="3">
        <f t="shared" si="22"/>
        <v>0.28773898066986753</v>
      </c>
      <c r="N130" t="str">
        <f t="shared" si="27"/>
        <v>Needs Optimization</v>
      </c>
      <c r="O130" t="str">
        <f t="shared" si="28"/>
        <v>NO</v>
      </c>
      <c r="P130" s="8" t="str">
        <f t="shared" si="29"/>
        <v>NO</v>
      </c>
    </row>
    <row r="131" spans="1:16" x14ac:dyDescent="0.25">
      <c r="A131" s="15" t="s">
        <v>10</v>
      </c>
      <c r="B131" s="19" t="s">
        <v>18</v>
      </c>
      <c r="C131" s="19" t="s">
        <v>179</v>
      </c>
      <c r="D131" s="2">
        <v>9017.5499999999993</v>
      </c>
      <c r="E131">
        <v>4981</v>
      </c>
      <c r="F131">
        <v>1749</v>
      </c>
      <c r="G131" s="2">
        <v>4217.5600000000004</v>
      </c>
      <c r="H131" s="16">
        <v>7046.36</v>
      </c>
      <c r="I131" s="7">
        <f t="shared" si="23"/>
        <v>1.8103894800240914</v>
      </c>
      <c r="J131" s="3">
        <f t="shared" si="24"/>
        <v>0.46770575156223149</v>
      </c>
      <c r="K131" s="2">
        <f t="shared" si="25"/>
        <v>1.4146476611122263</v>
      </c>
      <c r="L131" s="4">
        <f t="shared" si="26"/>
        <v>0.35113431037944187</v>
      </c>
      <c r="M131" s="3">
        <f t="shared" si="22"/>
        <v>0.78140514884863399</v>
      </c>
      <c r="N131" t="str">
        <f t="shared" si="27"/>
        <v>Needs Optimization</v>
      </c>
      <c r="O131" t="str">
        <f t="shared" si="28"/>
        <v>NO</v>
      </c>
      <c r="P131" s="8" t="str">
        <f t="shared" si="29"/>
        <v>NO</v>
      </c>
    </row>
    <row r="132" spans="1:16" x14ac:dyDescent="0.25">
      <c r="A132" s="15" t="s">
        <v>16</v>
      </c>
      <c r="B132" s="19" t="s">
        <v>17</v>
      </c>
      <c r="C132" s="19" t="s">
        <v>180</v>
      </c>
      <c r="D132" s="2">
        <v>18228.07</v>
      </c>
      <c r="E132">
        <v>4806</v>
      </c>
      <c r="F132">
        <v>653</v>
      </c>
      <c r="G132" s="2">
        <v>748.49</v>
      </c>
      <c r="H132" s="16">
        <v>1130.79</v>
      </c>
      <c r="I132" s="7">
        <f t="shared" ref="I132:I163" si="30">IFERROR(D132/E132,"")</f>
        <v>3.792773616312942</v>
      </c>
      <c r="J132" s="3">
        <f t="shared" ref="J132:J163" si="31">IFERROR(G132/D132,"")</f>
        <v>4.106249317673237E-2</v>
      </c>
      <c r="K132" s="2">
        <f t="shared" ref="K132:K163" si="32">IFERROR(H132/E132,"")</f>
        <v>0.23528714107365792</v>
      </c>
      <c r="L132" s="4">
        <f t="shared" ref="L132:L163" si="33">IFERROR(F132/E132,"")</f>
        <v>0.13587182688306285</v>
      </c>
      <c r="M132" s="3">
        <f t="shared" si="22"/>
        <v>6.2035640635569211E-2</v>
      </c>
      <c r="N132" t="str">
        <f t="shared" ref="N132:N163" si="34">IF(J132&gt;1,"Profitable",IF(J132&gt;=0.8,"Breakeven","Needs Optimization"))</f>
        <v>Needs Optimization</v>
      </c>
      <c r="O132" t="str">
        <f t="shared" ref="O132:O163" si="35">IF(K132&gt;I132,"YES","NO")</f>
        <v>NO</v>
      </c>
      <c r="P132" s="8" t="str">
        <f t="shared" ref="P132:P163" si="36">IF(AND(N132="Profitable",O132="YES"),"YES","NO")</f>
        <v>NO</v>
      </c>
    </row>
    <row r="133" spans="1:16" x14ac:dyDescent="0.25">
      <c r="A133" s="15" t="s">
        <v>6</v>
      </c>
      <c r="B133" s="19" t="s">
        <v>18</v>
      </c>
      <c r="C133" s="19" t="s">
        <v>181</v>
      </c>
      <c r="D133" s="2">
        <v>26540.9</v>
      </c>
      <c r="E133">
        <v>12488</v>
      </c>
      <c r="F133">
        <v>3900</v>
      </c>
      <c r="G133" s="2">
        <v>11599</v>
      </c>
      <c r="H133" s="16">
        <v>18655.419999999998</v>
      </c>
      <c r="I133" s="7">
        <f t="shared" si="30"/>
        <v>2.1253122998078156</v>
      </c>
      <c r="J133" s="3">
        <f t="shared" si="31"/>
        <v>0.43702361261298595</v>
      </c>
      <c r="K133" s="2">
        <f t="shared" si="32"/>
        <v>1.4938677130044842</v>
      </c>
      <c r="L133" s="4">
        <f t="shared" si="33"/>
        <v>0.31229980781550287</v>
      </c>
      <c r="M133" s="3">
        <f t="shared" ref="M133:M196" si="37">IFERROR(K133/I133,"")</f>
        <v>0.7028932703864601</v>
      </c>
      <c r="N133" t="str">
        <f t="shared" si="34"/>
        <v>Needs Optimization</v>
      </c>
      <c r="O133" t="str">
        <f t="shared" si="35"/>
        <v>NO</v>
      </c>
      <c r="P133" s="8" t="str">
        <f t="shared" si="36"/>
        <v>NO</v>
      </c>
    </row>
    <row r="134" spans="1:16" x14ac:dyDescent="0.25">
      <c r="A134" s="15" t="s">
        <v>5</v>
      </c>
      <c r="B134" s="19" t="s">
        <v>22</v>
      </c>
      <c r="C134" s="19" t="s">
        <v>182</v>
      </c>
      <c r="D134" s="2">
        <v>22903.66</v>
      </c>
      <c r="E134">
        <v>11599</v>
      </c>
      <c r="F134">
        <v>4891</v>
      </c>
      <c r="G134" s="2">
        <v>2204.61</v>
      </c>
      <c r="H134" s="16">
        <v>4861.12</v>
      </c>
      <c r="I134" s="7">
        <f t="shared" si="30"/>
        <v>1.9746236744546943</v>
      </c>
      <c r="J134" s="3">
        <f t="shared" si="31"/>
        <v>9.625579492535255E-2</v>
      </c>
      <c r="K134" s="2">
        <f t="shared" si="32"/>
        <v>0.41909819812052762</v>
      </c>
      <c r="L134" s="4">
        <f t="shared" si="33"/>
        <v>0.42167428226571257</v>
      </c>
      <c r="M134" s="3">
        <f t="shared" si="37"/>
        <v>0.21224206087586001</v>
      </c>
      <c r="N134" t="str">
        <f t="shared" si="34"/>
        <v>Needs Optimization</v>
      </c>
      <c r="O134" t="str">
        <f t="shared" si="35"/>
        <v>NO</v>
      </c>
      <c r="P134" s="8" t="str">
        <f t="shared" si="36"/>
        <v>NO</v>
      </c>
    </row>
    <row r="135" spans="1:16" x14ac:dyDescent="0.25">
      <c r="A135" s="15" t="s">
        <v>30</v>
      </c>
      <c r="B135" s="19" t="s">
        <v>18</v>
      </c>
      <c r="C135" s="19" t="s">
        <v>183</v>
      </c>
      <c r="D135" s="2">
        <v>22278.07</v>
      </c>
      <c r="E135">
        <v>13522</v>
      </c>
      <c r="F135">
        <v>6583</v>
      </c>
      <c r="G135" s="2">
        <v>9578.65</v>
      </c>
      <c r="H135" s="16">
        <v>21540.639999999999</v>
      </c>
      <c r="I135" s="7">
        <f t="shared" si="30"/>
        <v>1.6475425232953704</v>
      </c>
      <c r="J135" s="3">
        <f t="shared" si="31"/>
        <v>0.42995869929486707</v>
      </c>
      <c r="K135" s="2">
        <f t="shared" si="32"/>
        <v>1.5930069516343737</v>
      </c>
      <c r="L135" s="4">
        <f t="shared" si="33"/>
        <v>0.48683626682443426</v>
      </c>
      <c r="M135" s="3">
        <f t="shared" si="37"/>
        <v>0.96689883818481592</v>
      </c>
      <c r="N135" t="str">
        <f t="shared" si="34"/>
        <v>Needs Optimization</v>
      </c>
      <c r="O135" t="str">
        <f t="shared" si="35"/>
        <v>NO</v>
      </c>
      <c r="P135" s="8" t="str">
        <f t="shared" si="36"/>
        <v>NO</v>
      </c>
    </row>
    <row r="136" spans="1:16" x14ac:dyDescent="0.25">
      <c r="A136" s="15" t="s">
        <v>25</v>
      </c>
      <c r="B136" s="19" t="s">
        <v>22</v>
      </c>
      <c r="C136" s="19" t="s">
        <v>184</v>
      </c>
      <c r="D136" s="2">
        <v>17024.02</v>
      </c>
      <c r="E136">
        <v>15402</v>
      </c>
      <c r="F136">
        <v>3810</v>
      </c>
      <c r="G136" s="2">
        <v>4248.91</v>
      </c>
      <c r="H136" s="16">
        <v>7466.31</v>
      </c>
      <c r="I136" s="7">
        <f t="shared" si="30"/>
        <v>1.1053122971042721</v>
      </c>
      <c r="J136" s="3">
        <f t="shared" si="31"/>
        <v>0.24958323592195025</v>
      </c>
      <c r="K136" s="2">
        <f t="shared" si="32"/>
        <v>0.48476236852356841</v>
      </c>
      <c r="L136" s="4">
        <f t="shared" si="33"/>
        <v>0.24737047136735488</v>
      </c>
      <c r="M136" s="3">
        <f t="shared" si="37"/>
        <v>0.43857502517031821</v>
      </c>
      <c r="N136" t="str">
        <f t="shared" si="34"/>
        <v>Needs Optimization</v>
      </c>
      <c r="O136" t="str">
        <f t="shared" si="35"/>
        <v>NO</v>
      </c>
      <c r="P136" s="8" t="str">
        <f t="shared" si="36"/>
        <v>NO</v>
      </c>
    </row>
    <row r="137" spans="1:16" x14ac:dyDescent="0.25">
      <c r="A137" s="15" t="s">
        <v>13</v>
      </c>
      <c r="B137" s="19" t="s">
        <v>18</v>
      </c>
      <c r="C137" s="19" t="s">
        <v>185</v>
      </c>
      <c r="D137" s="2">
        <v>8332.4500000000007</v>
      </c>
      <c r="E137">
        <v>14561</v>
      </c>
      <c r="F137">
        <v>6378</v>
      </c>
      <c r="G137" s="2">
        <v>19809.810000000001</v>
      </c>
      <c r="H137" s="16">
        <v>40338.480000000003</v>
      </c>
      <c r="I137" s="7">
        <f t="shared" si="30"/>
        <v>0.57224435134949525</v>
      </c>
      <c r="J137" s="3">
        <f t="shared" si="31"/>
        <v>2.3774292074959944</v>
      </c>
      <c r="K137" s="2">
        <f t="shared" si="32"/>
        <v>2.7703097314744869</v>
      </c>
      <c r="L137" s="4">
        <f t="shared" si="33"/>
        <v>0.43801936680173065</v>
      </c>
      <c r="M137" s="3">
        <f t="shared" si="37"/>
        <v>4.8411307598605458</v>
      </c>
      <c r="N137" t="str">
        <f t="shared" si="34"/>
        <v>Profitable</v>
      </c>
      <c r="O137" t="str">
        <f t="shared" si="35"/>
        <v>YES</v>
      </c>
      <c r="P137" s="8" t="str">
        <f t="shared" si="36"/>
        <v>YES</v>
      </c>
    </row>
    <row r="138" spans="1:16" x14ac:dyDescent="0.25">
      <c r="A138" s="15" t="s">
        <v>11</v>
      </c>
      <c r="B138" s="19" t="s">
        <v>17</v>
      </c>
      <c r="C138" s="19" t="s">
        <v>186</v>
      </c>
      <c r="D138" s="2">
        <v>20134.27</v>
      </c>
      <c r="E138">
        <v>15713</v>
      </c>
      <c r="F138">
        <v>7286</v>
      </c>
      <c r="G138" s="2">
        <v>5419.49</v>
      </c>
      <c r="H138" s="16">
        <v>7954.36</v>
      </c>
      <c r="I138" s="7">
        <f t="shared" si="30"/>
        <v>1.2813765671736779</v>
      </c>
      <c r="J138" s="3">
        <f t="shared" si="31"/>
        <v>0.26916744436227386</v>
      </c>
      <c r="K138" s="2">
        <f t="shared" si="32"/>
        <v>0.50622796410615412</v>
      </c>
      <c r="L138" s="4">
        <f t="shared" si="33"/>
        <v>0.46369248393050339</v>
      </c>
      <c r="M138" s="3">
        <f t="shared" si="37"/>
        <v>0.39506572624684178</v>
      </c>
      <c r="N138" t="str">
        <f t="shared" si="34"/>
        <v>Needs Optimization</v>
      </c>
      <c r="O138" t="str">
        <f t="shared" si="35"/>
        <v>NO</v>
      </c>
      <c r="P138" s="8" t="str">
        <f t="shared" si="36"/>
        <v>NO</v>
      </c>
    </row>
    <row r="139" spans="1:16" x14ac:dyDescent="0.25">
      <c r="A139" s="15" t="s">
        <v>23</v>
      </c>
      <c r="B139" s="19" t="s">
        <v>22</v>
      </c>
      <c r="C139" s="19" t="s">
        <v>187</v>
      </c>
      <c r="D139" s="2">
        <v>29885.97</v>
      </c>
      <c r="E139">
        <v>4305</v>
      </c>
      <c r="F139">
        <v>597</v>
      </c>
      <c r="G139" s="2">
        <v>547.91999999999996</v>
      </c>
      <c r="H139" s="16">
        <v>1010.57</v>
      </c>
      <c r="I139" s="7">
        <f t="shared" si="30"/>
        <v>6.9421533101045299</v>
      </c>
      <c r="J139" s="3">
        <f t="shared" si="31"/>
        <v>1.8333686341785123E-2</v>
      </c>
      <c r="K139" s="2">
        <f t="shared" si="32"/>
        <v>0.23474332171893147</v>
      </c>
      <c r="L139" s="4">
        <f t="shared" si="33"/>
        <v>0.13867595818815331</v>
      </c>
      <c r="M139" s="3">
        <f t="shared" si="37"/>
        <v>3.3814194419655774E-2</v>
      </c>
      <c r="N139" t="str">
        <f t="shared" si="34"/>
        <v>Needs Optimization</v>
      </c>
      <c r="O139" t="str">
        <f t="shared" si="35"/>
        <v>NO</v>
      </c>
      <c r="P139" s="8" t="str">
        <f t="shared" si="36"/>
        <v>NO</v>
      </c>
    </row>
    <row r="140" spans="1:16" x14ac:dyDescent="0.25">
      <c r="A140" s="15" t="s">
        <v>26</v>
      </c>
      <c r="B140" s="19" t="s">
        <v>18</v>
      </c>
      <c r="C140" s="19" t="s">
        <v>188</v>
      </c>
      <c r="D140" s="2">
        <v>21501.55</v>
      </c>
      <c r="E140">
        <v>18201</v>
      </c>
      <c r="F140">
        <v>4871</v>
      </c>
      <c r="G140" s="2">
        <v>4107.8999999999996</v>
      </c>
      <c r="H140" s="16">
        <v>7385.43</v>
      </c>
      <c r="I140" s="7">
        <f t="shared" si="30"/>
        <v>1.1813389374210208</v>
      </c>
      <c r="J140" s="3">
        <f t="shared" si="31"/>
        <v>0.1910513428101695</v>
      </c>
      <c r="K140" s="2">
        <f t="shared" si="32"/>
        <v>0.40577056205702983</v>
      </c>
      <c r="L140" s="4">
        <f t="shared" si="33"/>
        <v>0.26762265809570901</v>
      </c>
      <c r="M140" s="3">
        <f t="shared" si="37"/>
        <v>0.34348360932118849</v>
      </c>
      <c r="N140" t="str">
        <f t="shared" si="34"/>
        <v>Needs Optimization</v>
      </c>
      <c r="O140" t="str">
        <f t="shared" si="35"/>
        <v>NO</v>
      </c>
      <c r="P140" s="8" t="str">
        <f t="shared" si="36"/>
        <v>NO</v>
      </c>
    </row>
    <row r="141" spans="1:16" x14ac:dyDescent="0.25">
      <c r="A141" s="15" t="s">
        <v>24</v>
      </c>
      <c r="B141" s="19" t="s">
        <v>22</v>
      </c>
      <c r="C141" s="19" t="s">
        <v>189</v>
      </c>
      <c r="D141" s="2">
        <v>19238.259999999998</v>
      </c>
      <c r="E141">
        <v>9666</v>
      </c>
      <c r="F141">
        <v>1093</v>
      </c>
      <c r="G141" s="2">
        <v>985.02</v>
      </c>
      <c r="H141" s="16">
        <v>2404.11</v>
      </c>
      <c r="I141" s="7">
        <f t="shared" si="30"/>
        <v>1.9903020897992962</v>
      </c>
      <c r="J141" s="3">
        <f t="shared" si="31"/>
        <v>5.1201096149028034E-2</v>
      </c>
      <c r="K141" s="2">
        <f t="shared" si="32"/>
        <v>0.24871818746120422</v>
      </c>
      <c r="L141" s="4">
        <f t="shared" si="33"/>
        <v>0.11307676391475274</v>
      </c>
      <c r="M141" s="3">
        <f t="shared" si="37"/>
        <v>0.12496504361621064</v>
      </c>
      <c r="N141" t="str">
        <f t="shared" si="34"/>
        <v>Needs Optimization</v>
      </c>
      <c r="O141" t="str">
        <f t="shared" si="35"/>
        <v>NO</v>
      </c>
      <c r="P141" s="8" t="str">
        <f t="shared" si="36"/>
        <v>NO</v>
      </c>
    </row>
    <row r="142" spans="1:16" x14ac:dyDescent="0.25">
      <c r="A142" s="15" t="s">
        <v>21</v>
      </c>
      <c r="B142" s="19" t="s">
        <v>17</v>
      </c>
      <c r="C142" s="19" t="s">
        <v>190</v>
      </c>
      <c r="D142" s="2">
        <v>29465.98</v>
      </c>
      <c r="E142">
        <v>12536</v>
      </c>
      <c r="F142">
        <v>3983</v>
      </c>
      <c r="G142" s="2">
        <v>6746.31</v>
      </c>
      <c r="H142" s="16">
        <v>11993.37</v>
      </c>
      <c r="I142" s="7">
        <f t="shared" si="30"/>
        <v>2.3505089342693042</v>
      </c>
      <c r="J142" s="3">
        <f t="shared" si="31"/>
        <v>0.22895250726430957</v>
      </c>
      <c r="K142" s="2">
        <f t="shared" si="32"/>
        <v>0.9567142629227825</v>
      </c>
      <c r="L142" s="4">
        <f t="shared" si="33"/>
        <v>0.31772495213784302</v>
      </c>
      <c r="M142" s="3">
        <f t="shared" si="37"/>
        <v>0.40702430396002448</v>
      </c>
      <c r="N142" t="str">
        <f t="shared" si="34"/>
        <v>Needs Optimization</v>
      </c>
      <c r="O142" t="str">
        <f t="shared" si="35"/>
        <v>NO</v>
      </c>
      <c r="P142" s="8" t="str">
        <f t="shared" si="36"/>
        <v>NO</v>
      </c>
    </row>
    <row r="143" spans="1:16" x14ac:dyDescent="0.25">
      <c r="A143" s="15" t="s">
        <v>10</v>
      </c>
      <c r="B143" s="19" t="s">
        <v>17</v>
      </c>
      <c r="C143" s="19" t="s">
        <v>191</v>
      </c>
      <c r="D143" s="2">
        <v>28572.3</v>
      </c>
      <c r="E143">
        <v>15400</v>
      </c>
      <c r="F143">
        <v>2104</v>
      </c>
      <c r="G143" s="2">
        <v>1742.94</v>
      </c>
      <c r="H143" s="16">
        <v>4296.8900000000003</v>
      </c>
      <c r="I143" s="7">
        <f t="shared" si="30"/>
        <v>1.8553441558441559</v>
      </c>
      <c r="J143" s="3">
        <f t="shared" si="31"/>
        <v>6.1001039468296221E-2</v>
      </c>
      <c r="K143" s="2">
        <f t="shared" si="32"/>
        <v>0.27901883116883119</v>
      </c>
      <c r="L143" s="4">
        <f t="shared" si="33"/>
        <v>0.13662337662337662</v>
      </c>
      <c r="M143" s="3">
        <f t="shared" si="37"/>
        <v>0.15038656320982211</v>
      </c>
      <c r="N143" t="str">
        <f t="shared" si="34"/>
        <v>Needs Optimization</v>
      </c>
      <c r="O143" t="str">
        <f t="shared" si="35"/>
        <v>NO</v>
      </c>
      <c r="P143" s="8" t="str">
        <f t="shared" si="36"/>
        <v>NO</v>
      </c>
    </row>
    <row r="144" spans="1:16" x14ac:dyDescent="0.25">
      <c r="A144" s="15" t="s">
        <v>23</v>
      </c>
      <c r="B144" s="19" t="s">
        <v>22</v>
      </c>
      <c r="C144" s="19" t="s">
        <v>192</v>
      </c>
      <c r="D144" s="2">
        <v>8819.93</v>
      </c>
      <c r="E144">
        <v>4626</v>
      </c>
      <c r="F144">
        <v>1918</v>
      </c>
      <c r="G144" s="2">
        <v>1906.93</v>
      </c>
      <c r="H144" s="16">
        <v>3747.21</v>
      </c>
      <c r="I144" s="7">
        <f t="shared" si="30"/>
        <v>1.906599654128837</v>
      </c>
      <c r="J144" s="3">
        <f t="shared" si="31"/>
        <v>0.21620693134752769</v>
      </c>
      <c r="K144" s="2">
        <f t="shared" si="32"/>
        <v>0.81003242542153053</v>
      </c>
      <c r="L144" s="4">
        <f t="shared" si="33"/>
        <v>0.41461305663640297</v>
      </c>
      <c r="M144" s="3">
        <f t="shared" si="37"/>
        <v>0.42485711337845089</v>
      </c>
      <c r="N144" t="str">
        <f t="shared" si="34"/>
        <v>Needs Optimization</v>
      </c>
      <c r="O144" t="str">
        <f t="shared" si="35"/>
        <v>NO</v>
      </c>
      <c r="P144" s="8" t="str">
        <f t="shared" si="36"/>
        <v>NO</v>
      </c>
    </row>
    <row r="145" spans="1:16" x14ac:dyDescent="0.25">
      <c r="A145" s="15" t="s">
        <v>27</v>
      </c>
      <c r="B145" s="19" t="s">
        <v>17</v>
      </c>
      <c r="C145" s="19" t="s">
        <v>193</v>
      </c>
      <c r="D145" s="2">
        <v>24765.48</v>
      </c>
      <c r="E145">
        <v>8134</v>
      </c>
      <c r="F145">
        <v>1882</v>
      </c>
      <c r="G145" s="2">
        <v>1672.51</v>
      </c>
      <c r="H145" s="16">
        <v>2179.9499999999998</v>
      </c>
      <c r="I145" s="7">
        <f t="shared" si="30"/>
        <v>3.0446865011064665</v>
      </c>
      <c r="J145" s="3">
        <f t="shared" si="31"/>
        <v>6.7533922217538289E-2</v>
      </c>
      <c r="K145" s="2">
        <f t="shared" si="32"/>
        <v>0.26800467174821735</v>
      </c>
      <c r="L145" s="4">
        <f t="shared" si="33"/>
        <v>0.23137447750184412</v>
      </c>
      <c r="M145" s="3">
        <f t="shared" si="37"/>
        <v>8.8023733034853349E-2</v>
      </c>
      <c r="N145" t="str">
        <f t="shared" si="34"/>
        <v>Needs Optimization</v>
      </c>
      <c r="O145" t="str">
        <f t="shared" si="35"/>
        <v>NO</v>
      </c>
      <c r="P145" s="8" t="str">
        <f t="shared" si="36"/>
        <v>NO</v>
      </c>
    </row>
    <row r="146" spans="1:16" x14ac:dyDescent="0.25">
      <c r="A146" s="15" t="s">
        <v>6</v>
      </c>
      <c r="B146" s="19" t="s">
        <v>17</v>
      </c>
      <c r="C146" s="19" t="s">
        <v>194</v>
      </c>
      <c r="D146" s="2">
        <v>17126.03</v>
      </c>
      <c r="E146">
        <v>6217</v>
      </c>
      <c r="F146">
        <v>895</v>
      </c>
      <c r="G146" s="2">
        <v>798.61</v>
      </c>
      <c r="H146" s="16">
        <v>1381.51</v>
      </c>
      <c r="I146" s="7">
        <f t="shared" si="30"/>
        <v>2.7547096670419813</v>
      </c>
      <c r="J146" s="3">
        <f t="shared" si="31"/>
        <v>4.6631355895090695E-2</v>
      </c>
      <c r="K146" s="2">
        <f t="shared" si="32"/>
        <v>0.22221489464371882</v>
      </c>
      <c r="L146" s="4">
        <f t="shared" si="33"/>
        <v>0.14396010937751327</v>
      </c>
      <c r="M146" s="3">
        <f t="shared" si="37"/>
        <v>8.0667264976179542E-2</v>
      </c>
      <c r="N146" t="str">
        <f t="shared" si="34"/>
        <v>Needs Optimization</v>
      </c>
      <c r="O146" t="str">
        <f t="shared" si="35"/>
        <v>NO</v>
      </c>
      <c r="P146" s="8" t="str">
        <f t="shared" si="36"/>
        <v>NO</v>
      </c>
    </row>
    <row r="147" spans="1:16" x14ac:dyDescent="0.25">
      <c r="A147" s="15" t="s">
        <v>30</v>
      </c>
      <c r="B147" s="19" t="s">
        <v>18</v>
      </c>
      <c r="C147" s="19" t="s">
        <v>195</v>
      </c>
      <c r="D147" s="2">
        <v>11065.6</v>
      </c>
      <c r="E147">
        <v>6209</v>
      </c>
      <c r="F147">
        <v>1279</v>
      </c>
      <c r="G147" s="2">
        <v>590.65</v>
      </c>
      <c r="H147" s="16">
        <v>848.4</v>
      </c>
      <c r="I147" s="7">
        <f t="shared" si="30"/>
        <v>1.7821871476888389</v>
      </c>
      <c r="J147" s="3">
        <f t="shared" si="31"/>
        <v>5.3377132735685361E-2</v>
      </c>
      <c r="K147" s="2">
        <f t="shared" si="32"/>
        <v>0.13664036076662908</v>
      </c>
      <c r="L147" s="4">
        <f t="shared" si="33"/>
        <v>0.2059913029473345</v>
      </c>
      <c r="M147" s="3">
        <f t="shared" si="37"/>
        <v>7.6670040485829954E-2</v>
      </c>
      <c r="N147" t="str">
        <f t="shared" si="34"/>
        <v>Needs Optimization</v>
      </c>
      <c r="O147" t="str">
        <f t="shared" si="35"/>
        <v>NO</v>
      </c>
      <c r="P147" s="8" t="str">
        <f t="shared" si="36"/>
        <v>NO</v>
      </c>
    </row>
    <row r="148" spans="1:16" x14ac:dyDescent="0.25">
      <c r="A148" s="15" t="s">
        <v>14</v>
      </c>
      <c r="B148" s="19" t="s">
        <v>22</v>
      </c>
      <c r="C148" s="19" t="s">
        <v>196</v>
      </c>
      <c r="D148" s="2">
        <v>14551.71</v>
      </c>
      <c r="E148">
        <v>12363</v>
      </c>
      <c r="F148">
        <v>3774</v>
      </c>
      <c r="G148" s="2">
        <v>1866.32</v>
      </c>
      <c r="H148" s="16">
        <v>4543.55</v>
      </c>
      <c r="I148" s="7">
        <f t="shared" si="30"/>
        <v>1.1770371269109439</v>
      </c>
      <c r="J148" s="3">
        <f t="shared" si="31"/>
        <v>0.12825434261677837</v>
      </c>
      <c r="K148" s="2">
        <f t="shared" si="32"/>
        <v>0.36751193076114214</v>
      </c>
      <c r="L148" s="4">
        <f t="shared" si="33"/>
        <v>0.30526571220577531</v>
      </c>
      <c r="M148" s="3">
        <f t="shared" si="37"/>
        <v>0.31223478202905369</v>
      </c>
      <c r="N148" t="str">
        <f t="shared" si="34"/>
        <v>Needs Optimization</v>
      </c>
      <c r="O148" t="str">
        <f t="shared" si="35"/>
        <v>NO</v>
      </c>
      <c r="P148" s="8" t="str">
        <f t="shared" si="36"/>
        <v>NO</v>
      </c>
    </row>
    <row r="149" spans="1:16" x14ac:dyDescent="0.25">
      <c r="A149" s="15" t="s">
        <v>23</v>
      </c>
      <c r="B149" s="19" t="s">
        <v>18</v>
      </c>
      <c r="C149" s="19" t="s">
        <v>197</v>
      </c>
      <c r="D149" s="2">
        <v>23930.36</v>
      </c>
      <c r="E149">
        <v>17586</v>
      </c>
      <c r="F149">
        <v>3880</v>
      </c>
      <c r="G149" s="2">
        <v>1870.97</v>
      </c>
      <c r="H149" s="16">
        <v>4674.25</v>
      </c>
      <c r="I149" s="7">
        <f t="shared" si="30"/>
        <v>1.3607619697486637</v>
      </c>
      <c r="J149" s="3">
        <f t="shared" si="31"/>
        <v>7.8183947086462549E-2</v>
      </c>
      <c r="K149" s="2">
        <f t="shared" si="32"/>
        <v>0.26579381326054818</v>
      </c>
      <c r="L149" s="4">
        <f t="shared" si="33"/>
        <v>0.22063004662799954</v>
      </c>
      <c r="M149" s="3">
        <f t="shared" si="37"/>
        <v>0.19532719106607674</v>
      </c>
      <c r="N149" t="str">
        <f t="shared" si="34"/>
        <v>Needs Optimization</v>
      </c>
      <c r="O149" t="str">
        <f t="shared" si="35"/>
        <v>NO</v>
      </c>
      <c r="P149" s="8" t="str">
        <f t="shared" si="36"/>
        <v>NO</v>
      </c>
    </row>
    <row r="150" spans="1:16" x14ac:dyDescent="0.25">
      <c r="A150" s="15" t="s">
        <v>20</v>
      </c>
      <c r="B150" s="19" t="s">
        <v>22</v>
      </c>
      <c r="C150" s="19" t="s">
        <v>198</v>
      </c>
      <c r="D150" s="2">
        <v>21210.73</v>
      </c>
      <c r="E150">
        <v>16565</v>
      </c>
      <c r="F150">
        <v>6376</v>
      </c>
      <c r="G150" s="2">
        <v>11327.88</v>
      </c>
      <c r="H150" s="16">
        <v>19104.86</v>
      </c>
      <c r="I150" s="7">
        <f t="shared" si="30"/>
        <v>1.2804545728946575</v>
      </c>
      <c r="J150" s="3">
        <f t="shared" si="31"/>
        <v>0.5340636555177497</v>
      </c>
      <c r="K150" s="2">
        <f t="shared" si="32"/>
        <v>1.1533268940537278</v>
      </c>
      <c r="L150" s="4">
        <f t="shared" si="33"/>
        <v>0.38490793842438875</v>
      </c>
      <c r="M150" s="3">
        <f t="shared" si="37"/>
        <v>0.90071675986635069</v>
      </c>
      <c r="N150" t="str">
        <f t="shared" si="34"/>
        <v>Needs Optimization</v>
      </c>
      <c r="O150" t="str">
        <f t="shared" si="35"/>
        <v>NO</v>
      </c>
      <c r="P150" s="8" t="str">
        <f t="shared" si="36"/>
        <v>NO</v>
      </c>
    </row>
    <row r="151" spans="1:16" x14ac:dyDescent="0.25">
      <c r="A151" s="15" t="s">
        <v>14</v>
      </c>
      <c r="B151" s="19" t="s">
        <v>17</v>
      </c>
      <c r="C151" s="19" t="s">
        <v>199</v>
      </c>
      <c r="D151" s="2">
        <v>6656.71</v>
      </c>
      <c r="E151">
        <v>16413</v>
      </c>
      <c r="F151">
        <v>4801</v>
      </c>
      <c r="G151" s="2">
        <v>14574.08</v>
      </c>
      <c r="H151" s="16">
        <v>21825.63</v>
      </c>
      <c r="I151" s="7">
        <f t="shared" si="30"/>
        <v>0.40557545847803572</v>
      </c>
      <c r="J151" s="3">
        <f t="shared" si="31"/>
        <v>2.1893818417806994</v>
      </c>
      <c r="K151" s="2">
        <f t="shared" si="32"/>
        <v>1.3297770060318042</v>
      </c>
      <c r="L151" s="4">
        <f t="shared" si="33"/>
        <v>0.29251203314445867</v>
      </c>
      <c r="M151" s="3">
        <f t="shared" si="37"/>
        <v>3.2787413001317467</v>
      </c>
      <c r="N151" t="str">
        <f t="shared" si="34"/>
        <v>Profitable</v>
      </c>
      <c r="O151" t="str">
        <f t="shared" si="35"/>
        <v>YES</v>
      </c>
      <c r="P151" s="8" t="str">
        <f t="shared" si="36"/>
        <v>YES</v>
      </c>
    </row>
    <row r="152" spans="1:16" x14ac:dyDescent="0.25">
      <c r="A152" s="15" t="s">
        <v>16</v>
      </c>
      <c r="B152" s="19" t="s">
        <v>18</v>
      </c>
      <c r="C152" s="19" t="s">
        <v>200</v>
      </c>
      <c r="D152" s="2">
        <v>18951.95</v>
      </c>
      <c r="E152">
        <v>3749</v>
      </c>
      <c r="F152">
        <v>1564</v>
      </c>
      <c r="G152" s="2">
        <v>958.44</v>
      </c>
      <c r="H152" s="16">
        <v>2255.4499999999998</v>
      </c>
      <c r="I152" s="7">
        <f t="shared" si="30"/>
        <v>5.0552013870365435</v>
      </c>
      <c r="J152" s="3">
        <f t="shared" si="31"/>
        <v>5.0572104717456517E-2</v>
      </c>
      <c r="K152" s="2">
        <f t="shared" si="32"/>
        <v>0.60161376367031205</v>
      </c>
      <c r="L152" s="4">
        <f t="shared" si="33"/>
        <v>0.41717791411042943</v>
      </c>
      <c r="M152" s="3">
        <f t="shared" si="37"/>
        <v>0.11900886188492475</v>
      </c>
      <c r="N152" t="str">
        <f t="shared" si="34"/>
        <v>Needs Optimization</v>
      </c>
      <c r="O152" t="str">
        <f t="shared" si="35"/>
        <v>NO</v>
      </c>
      <c r="P152" s="8" t="str">
        <f t="shared" si="36"/>
        <v>NO</v>
      </c>
    </row>
    <row r="153" spans="1:16" x14ac:dyDescent="0.25">
      <c r="A153" s="15" t="s">
        <v>4</v>
      </c>
      <c r="B153" s="19" t="s">
        <v>18</v>
      </c>
      <c r="C153" s="19" t="s">
        <v>201</v>
      </c>
      <c r="D153" s="2">
        <v>26233.78</v>
      </c>
      <c r="E153">
        <v>14592</v>
      </c>
      <c r="F153">
        <v>4094</v>
      </c>
      <c r="G153" s="2">
        <v>2256.87</v>
      </c>
      <c r="H153" s="16">
        <v>4162.12</v>
      </c>
      <c r="I153" s="7">
        <f t="shared" si="30"/>
        <v>1.7978193530701754</v>
      </c>
      <c r="J153" s="3">
        <f t="shared" si="31"/>
        <v>8.6029157826283523E-2</v>
      </c>
      <c r="K153" s="2">
        <f t="shared" si="32"/>
        <v>0.28523300438596488</v>
      </c>
      <c r="L153" s="4">
        <f t="shared" si="33"/>
        <v>0.28056469298245612</v>
      </c>
      <c r="M153" s="3">
        <f t="shared" si="37"/>
        <v>0.15865498605233405</v>
      </c>
      <c r="N153" t="str">
        <f t="shared" si="34"/>
        <v>Needs Optimization</v>
      </c>
      <c r="O153" t="str">
        <f t="shared" si="35"/>
        <v>NO</v>
      </c>
      <c r="P153" s="8" t="str">
        <f t="shared" si="36"/>
        <v>NO</v>
      </c>
    </row>
    <row r="154" spans="1:16" x14ac:dyDescent="0.25">
      <c r="A154" s="15" t="s">
        <v>28</v>
      </c>
      <c r="B154" s="19" t="s">
        <v>18</v>
      </c>
      <c r="C154" s="19" t="s">
        <v>202</v>
      </c>
      <c r="D154" s="2">
        <v>4662.3999999999996</v>
      </c>
      <c r="E154">
        <v>14484</v>
      </c>
      <c r="F154">
        <v>3259</v>
      </c>
      <c r="G154" s="2">
        <v>4156.3999999999996</v>
      </c>
      <c r="H154" s="16">
        <v>8828.9599999999991</v>
      </c>
      <c r="I154" s="7">
        <f t="shared" si="30"/>
        <v>0.32190002761668046</v>
      </c>
      <c r="J154" s="3">
        <f t="shared" si="31"/>
        <v>0.89147220315717224</v>
      </c>
      <c r="K154" s="2">
        <f t="shared" si="32"/>
        <v>0.60956641811654233</v>
      </c>
      <c r="L154" s="4">
        <f t="shared" si="33"/>
        <v>0.22500690417011876</v>
      </c>
      <c r="M154" s="3">
        <f t="shared" si="37"/>
        <v>1.8936513383665063</v>
      </c>
      <c r="N154" t="str">
        <f t="shared" si="34"/>
        <v>Breakeven</v>
      </c>
      <c r="O154" t="str">
        <f t="shared" si="35"/>
        <v>YES</v>
      </c>
      <c r="P154" s="8" t="str">
        <f t="shared" si="36"/>
        <v>NO</v>
      </c>
    </row>
    <row r="155" spans="1:16" x14ac:dyDescent="0.25">
      <c r="A155" s="15" t="s">
        <v>5</v>
      </c>
      <c r="B155" s="19" t="s">
        <v>17</v>
      </c>
      <c r="C155" s="19" t="s">
        <v>203</v>
      </c>
      <c r="D155" s="2">
        <v>4554.29</v>
      </c>
      <c r="E155">
        <v>3297</v>
      </c>
      <c r="F155">
        <v>452</v>
      </c>
      <c r="G155" s="2">
        <v>273.20999999999998</v>
      </c>
      <c r="H155" s="16">
        <v>621.30999999999995</v>
      </c>
      <c r="I155" s="7">
        <f t="shared" si="30"/>
        <v>1.3813436457385502</v>
      </c>
      <c r="J155" s="3">
        <f t="shared" si="31"/>
        <v>5.9989592230622113E-2</v>
      </c>
      <c r="K155" s="2">
        <f t="shared" si="32"/>
        <v>0.1884470730967546</v>
      </c>
      <c r="L155" s="4">
        <f t="shared" si="33"/>
        <v>0.13709432817713071</v>
      </c>
      <c r="M155" s="3">
        <f t="shared" si="37"/>
        <v>0.13642302093191253</v>
      </c>
      <c r="N155" t="str">
        <f t="shared" si="34"/>
        <v>Needs Optimization</v>
      </c>
      <c r="O155" t="str">
        <f t="shared" si="35"/>
        <v>NO</v>
      </c>
      <c r="P155" s="8" t="str">
        <f t="shared" si="36"/>
        <v>NO</v>
      </c>
    </row>
    <row r="156" spans="1:16" x14ac:dyDescent="0.25">
      <c r="A156" s="15" t="s">
        <v>4</v>
      </c>
      <c r="B156" s="19" t="s">
        <v>17</v>
      </c>
      <c r="C156" s="19" t="s">
        <v>204</v>
      </c>
      <c r="D156" s="2">
        <v>18421.02</v>
      </c>
      <c r="E156">
        <v>18902</v>
      </c>
      <c r="F156">
        <v>6136</v>
      </c>
      <c r="G156" s="2">
        <v>8295.93</v>
      </c>
      <c r="H156" s="16">
        <v>19481.57</v>
      </c>
      <c r="I156" s="7">
        <f t="shared" si="30"/>
        <v>0.97455401544810072</v>
      </c>
      <c r="J156" s="3">
        <f t="shared" si="31"/>
        <v>0.45035128347941644</v>
      </c>
      <c r="K156" s="2">
        <f t="shared" si="32"/>
        <v>1.030661834726484</v>
      </c>
      <c r="L156" s="4">
        <f t="shared" si="33"/>
        <v>0.3246217331499312</v>
      </c>
      <c r="M156" s="3">
        <f t="shared" si="37"/>
        <v>1.0575728162718461</v>
      </c>
      <c r="N156" t="str">
        <f t="shared" si="34"/>
        <v>Needs Optimization</v>
      </c>
      <c r="O156" t="str">
        <f t="shared" si="35"/>
        <v>YES</v>
      </c>
      <c r="P156" s="8" t="str">
        <f t="shared" si="36"/>
        <v>NO</v>
      </c>
    </row>
    <row r="157" spans="1:16" x14ac:dyDescent="0.25">
      <c r="A157" s="15" t="s">
        <v>19</v>
      </c>
      <c r="B157" s="19" t="s">
        <v>22</v>
      </c>
      <c r="C157" s="19" t="s">
        <v>205</v>
      </c>
      <c r="D157" s="2">
        <v>26306.58</v>
      </c>
      <c r="E157">
        <v>2185</v>
      </c>
      <c r="F157">
        <v>1064</v>
      </c>
      <c r="G157" s="2">
        <v>1184</v>
      </c>
      <c r="H157" s="16">
        <v>2360.31</v>
      </c>
      <c r="I157" s="7">
        <f t="shared" si="30"/>
        <v>12.03962471395881</v>
      </c>
      <c r="J157" s="3">
        <f t="shared" si="31"/>
        <v>4.5007750912509338E-2</v>
      </c>
      <c r="K157" s="2">
        <f t="shared" si="32"/>
        <v>1.080233409610984</v>
      </c>
      <c r="L157" s="4">
        <f t="shared" si="33"/>
        <v>0.48695652173913045</v>
      </c>
      <c r="M157" s="3">
        <f t="shared" si="37"/>
        <v>8.9723179523906182E-2</v>
      </c>
      <c r="N157" t="str">
        <f t="shared" si="34"/>
        <v>Needs Optimization</v>
      </c>
      <c r="O157" t="str">
        <f t="shared" si="35"/>
        <v>NO</v>
      </c>
      <c r="P157" s="8" t="str">
        <f t="shared" si="36"/>
        <v>NO</v>
      </c>
    </row>
    <row r="158" spans="1:16" x14ac:dyDescent="0.25">
      <c r="A158" s="15" t="s">
        <v>10</v>
      </c>
      <c r="B158" s="19" t="s">
        <v>17</v>
      </c>
      <c r="C158" s="19" t="s">
        <v>206</v>
      </c>
      <c r="D158" s="2">
        <v>20388.62</v>
      </c>
      <c r="E158">
        <v>7848</v>
      </c>
      <c r="F158">
        <v>3444</v>
      </c>
      <c r="G158" s="2">
        <v>3528.35</v>
      </c>
      <c r="H158" s="16">
        <v>5073.28</v>
      </c>
      <c r="I158" s="7">
        <f t="shared" si="30"/>
        <v>2.5979383282364932</v>
      </c>
      <c r="J158" s="3">
        <f t="shared" si="31"/>
        <v>0.17305487080538065</v>
      </c>
      <c r="K158" s="2">
        <f t="shared" si="32"/>
        <v>0.64644240570846068</v>
      </c>
      <c r="L158" s="4">
        <f t="shared" si="33"/>
        <v>0.43883792048929665</v>
      </c>
      <c r="M158" s="3">
        <f t="shared" si="37"/>
        <v>0.2488290036304566</v>
      </c>
      <c r="N158" t="str">
        <f t="shared" si="34"/>
        <v>Needs Optimization</v>
      </c>
      <c r="O158" t="str">
        <f t="shared" si="35"/>
        <v>NO</v>
      </c>
      <c r="P158" s="8" t="str">
        <f t="shared" si="36"/>
        <v>NO</v>
      </c>
    </row>
    <row r="159" spans="1:16" x14ac:dyDescent="0.25">
      <c r="A159" s="15" t="s">
        <v>15</v>
      </c>
      <c r="B159" s="19" t="s">
        <v>17</v>
      </c>
      <c r="C159" s="19" t="s">
        <v>207</v>
      </c>
      <c r="D159" s="2">
        <v>3621.9</v>
      </c>
      <c r="E159">
        <v>19091</v>
      </c>
      <c r="F159">
        <v>9140</v>
      </c>
      <c r="G159" s="2">
        <v>4034.45</v>
      </c>
      <c r="H159" s="16">
        <v>5579.87</v>
      </c>
      <c r="I159" s="7">
        <f t="shared" si="30"/>
        <v>0.18971766801110471</v>
      </c>
      <c r="J159" s="3">
        <f t="shared" si="31"/>
        <v>1.113904304370634</v>
      </c>
      <c r="K159" s="2">
        <f t="shared" si="32"/>
        <v>0.292277512964224</v>
      </c>
      <c r="L159" s="4">
        <f t="shared" si="33"/>
        <v>0.47875962495416691</v>
      </c>
      <c r="M159" s="3">
        <f t="shared" si="37"/>
        <v>1.5405919544990199</v>
      </c>
      <c r="N159" t="str">
        <f t="shared" si="34"/>
        <v>Profitable</v>
      </c>
      <c r="O159" t="str">
        <f t="shared" si="35"/>
        <v>YES</v>
      </c>
      <c r="P159" s="8" t="str">
        <f t="shared" si="36"/>
        <v>YES</v>
      </c>
    </row>
    <row r="160" spans="1:16" x14ac:dyDescent="0.25">
      <c r="A160" s="15" t="s">
        <v>7</v>
      </c>
      <c r="B160" s="19" t="s">
        <v>18</v>
      </c>
      <c r="C160" s="19" t="s">
        <v>208</v>
      </c>
      <c r="D160" s="2">
        <v>2735.11</v>
      </c>
      <c r="E160">
        <v>9263</v>
      </c>
      <c r="F160">
        <v>1033</v>
      </c>
      <c r="G160" s="2">
        <v>1140.5999999999999</v>
      </c>
      <c r="H160" s="16">
        <v>2744.11</v>
      </c>
      <c r="I160" s="7">
        <f t="shared" si="30"/>
        <v>0.29527258987369104</v>
      </c>
      <c r="J160" s="3">
        <f t="shared" si="31"/>
        <v>0.41702161887456074</v>
      </c>
      <c r="K160" s="2">
        <f t="shared" si="32"/>
        <v>0.29624419734427293</v>
      </c>
      <c r="L160" s="4">
        <f t="shared" si="33"/>
        <v>0.11151894634567634</v>
      </c>
      <c r="M160" s="3">
        <f t="shared" si="37"/>
        <v>1.0032905440731816</v>
      </c>
      <c r="N160" t="str">
        <f t="shared" si="34"/>
        <v>Needs Optimization</v>
      </c>
      <c r="O160" t="str">
        <f t="shared" si="35"/>
        <v>YES</v>
      </c>
      <c r="P160" s="8" t="str">
        <f t="shared" si="36"/>
        <v>NO</v>
      </c>
    </row>
    <row r="161" spans="1:16" x14ac:dyDescent="0.25">
      <c r="A161" s="15" t="s">
        <v>21</v>
      </c>
      <c r="B161" s="19" t="s">
        <v>17</v>
      </c>
      <c r="C161" s="19" t="s">
        <v>209</v>
      </c>
      <c r="D161" s="2">
        <v>7079.36</v>
      </c>
      <c r="E161">
        <v>5194</v>
      </c>
      <c r="F161">
        <v>1695</v>
      </c>
      <c r="G161" s="2">
        <v>851.48</v>
      </c>
      <c r="H161" s="16">
        <v>1753.88</v>
      </c>
      <c r="I161" s="7">
        <f t="shared" si="30"/>
        <v>1.3629880631497882</v>
      </c>
      <c r="J161" s="3">
        <f t="shared" si="31"/>
        <v>0.12027640916693035</v>
      </c>
      <c r="K161" s="2">
        <f t="shared" si="32"/>
        <v>0.33767423950712361</v>
      </c>
      <c r="L161" s="4">
        <f t="shared" si="33"/>
        <v>0.32633808240277246</v>
      </c>
      <c r="M161" s="3">
        <f t="shared" si="37"/>
        <v>0.24774555892058039</v>
      </c>
      <c r="N161" t="str">
        <f t="shared" si="34"/>
        <v>Needs Optimization</v>
      </c>
      <c r="O161" t="str">
        <f t="shared" si="35"/>
        <v>NO</v>
      </c>
      <c r="P161" s="8" t="str">
        <f t="shared" si="36"/>
        <v>NO</v>
      </c>
    </row>
    <row r="162" spans="1:16" x14ac:dyDescent="0.25">
      <c r="A162" s="15" t="s">
        <v>25</v>
      </c>
      <c r="B162" s="19" t="s">
        <v>17</v>
      </c>
      <c r="C162" s="19" t="s">
        <v>210</v>
      </c>
      <c r="D162" s="2">
        <v>22891.13</v>
      </c>
      <c r="E162">
        <v>7549</v>
      </c>
      <c r="F162">
        <v>1890</v>
      </c>
      <c r="G162" s="2">
        <v>1088.53</v>
      </c>
      <c r="H162" s="16">
        <v>1822.16</v>
      </c>
      <c r="I162" s="7">
        <f t="shared" si="30"/>
        <v>3.0323393826996954</v>
      </c>
      <c r="J162" s="3">
        <f t="shared" si="31"/>
        <v>4.7552479934367585E-2</v>
      </c>
      <c r="K162" s="2">
        <f t="shared" si="32"/>
        <v>0.24137766591601537</v>
      </c>
      <c r="L162" s="4">
        <f t="shared" si="33"/>
        <v>0.25036428666048482</v>
      </c>
      <c r="M162" s="3">
        <f t="shared" si="37"/>
        <v>7.9601138082742093E-2</v>
      </c>
      <c r="N162" t="str">
        <f t="shared" si="34"/>
        <v>Needs Optimization</v>
      </c>
      <c r="O162" t="str">
        <f t="shared" si="35"/>
        <v>NO</v>
      </c>
      <c r="P162" s="8" t="str">
        <f t="shared" si="36"/>
        <v>NO</v>
      </c>
    </row>
    <row r="163" spans="1:16" x14ac:dyDescent="0.25">
      <c r="A163" s="15" t="s">
        <v>9</v>
      </c>
      <c r="B163" s="19" t="s">
        <v>18</v>
      </c>
      <c r="C163" s="19" t="s">
        <v>211</v>
      </c>
      <c r="D163" s="2">
        <v>18694.27</v>
      </c>
      <c r="E163">
        <v>2223</v>
      </c>
      <c r="F163">
        <v>360</v>
      </c>
      <c r="G163" s="2">
        <v>211.89</v>
      </c>
      <c r="H163" s="16">
        <v>296.2</v>
      </c>
      <c r="I163" s="7">
        <f t="shared" si="30"/>
        <v>8.4094781826360769</v>
      </c>
      <c r="J163" s="3">
        <f t="shared" si="31"/>
        <v>1.1334489124207576E-2</v>
      </c>
      <c r="K163" s="2">
        <f t="shared" si="32"/>
        <v>0.13324336482231219</v>
      </c>
      <c r="L163" s="4">
        <f t="shared" si="33"/>
        <v>0.16194331983805668</v>
      </c>
      <c r="M163" s="3">
        <f t="shared" si="37"/>
        <v>1.5844427196140851E-2</v>
      </c>
      <c r="N163" t="str">
        <f t="shared" si="34"/>
        <v>Needs Optimization</v>
      </c>
      <c r="O163" t="str">
        <f t="shared" si="35"/>
        <v>NO</v>
      </c>
      <c r="P163" s="8" t="str">
        <f t="shared" si="36"/>
        <v>NO</v>
      </c>
    </row>
    <row r="164" spans="1:16" x14ac:dyDescent="0.25">
      <c r="A164" s="15" t="s">
        <v>16</v>
      </c>
      <c r="B164" s="19" t="s">
        <v>18</v>
      </c>
      <c r="C164" s="19" t="s">
        <v>212</v>
      </c>
      <c r="D164" s="2">
        <v>13872.41</v>
      </c>
      <c r="E164">
        <v>14984</v>
      </c>
      <c r="F164">
        <v>3980</v>
      </c>
      <c r="G164" s="2">
        <v>2819.02</v>
      </c>
      <c r="H164" s="16">
        <v>4832.3900000000003</v>
      </c>
      <c r="I164" s="7">
        <f t="shared" ref="I164:I195" si="38">IFERROR(D164/E164,"")</f>
        <v>0.92581486919380673</v>
      </c>
      <c r="J164" s="3">
        <f t="shared" ref="J164:J195" si="39">IFERROR(G164/D164,"")</f>
        <v>0.20321054524772553</v>
      </c>
      <c r="K164" s="2">
        <f t="shared" ref="K164:K195" si="40">IFERROR(H164/E164,"")</f>
        <v>0.32250333689268557</v>
      </c>
      <c r="L164" s="4">
        <f t="shared" ref="L164:L195" si="41">IFERROR(F164/E164,"")</f>
        <v>0.26561665776828619</v>
      </c>
      <c r="M164" s="3">
        <f t="shared" si="37"/>
        <v>0.34834538483219574</v>
      </c>
      <c r="N164" t="str">
        <f t="shared" ref="N164:N195" si="42">IF(J164&gt;1,"Profitable",IF(J164&gt;=0.8,"Breakeven","Needs Optimization"))</f>
        <v>Needs Optimization</v>
      </c>
      <c r="O164" t="str">
        <f t="shared" ref="O164:O195" si="43">IF(K164&gt;I164,"YES","NO")</f>
        <v>NO</v>
      </c>
      <c r="P164" s="8" t="str">
        <f t="shared" ref="P164:P195" si="44">IF(AND(N164="Profitable",O164="YES"),"YES","NO")</f>
        <v>NO</v>
      </c>
    </row>
    <row r="165" spans="1:16" x14ac:dyDescent="0.25">
      <c r="A165" s="15" t="s">
        <v>24</v>
      </c>
      <c r="B165" s="19" t="s">
        <v>22</v>
      </c>
      <c r="C165" s="19" t="s">
        <v>213</v>
      </c>
      <c r="D165" s="2">
        <v>20990.1</v>
      </c>
      <c r="E165">
        <v>19935</v>
      </c>
      <c r="F165">
        <v>5873</v>
      </c>
      <c r="G165" s="2">
        <v>3101.06</v>
      </c>
      <c r="H165" s="16">
        <v>5502.26</v>
      </c>
      <c r="I165" s="7">
        <f t="shared" si="38"/>
        <v>1.0529270127915726</v>
      </c>
      <c r="J165" s="3">
        <f t="shared" si="39"/>
        <v>0.14773917227645414</v>
      </c>
      <c r="K165" s="2">
        <f t="shared" si="40"/>
        <v>0.2760100326059694</v>
      </c>
      <c r="L165" s="4">
        <f t="shared" si="41"/>
        <v>0.29460747429144718</v>
      </c>
      <c r="M165" s="3">
        <f t="shared" si="37"/>
        <v>0.26213595933320943</v>
      </c>
      <c r="N165" t="str">
        <f t="shared" si="42"/>
        <v>Needs Optimization</v>
      </c>
      <c r="O165" t="str">
        <f t="shared" si="43"/>
        <v>NO</v>
      </c>
      <c r="P165" s="8" t="str">
        <f t="shared" si="44"/>
        <v>NO</v>
      </c>
    </row>
    <row r="166" spans="1:16" x14ac:dyDescent="0.25">
      <c r="A166" s="15" t="s">
        <v>16</v>
      </c>
      <c r="B166" s="19" t="s">
        <v>22</v>
      </c>
      <c r="C166" s="19" t="s">
        <v>214</v>
      </c>
      <c r="D166" s="2">
        <v>7081.7</v>
      </c>
      <c r="E166">
        <v>19680</v>
      </c>
      <c r="F166">
        <v>5399</v>
      </c>
      <c r="G166" s="2">
        <v>16533.759999999998</v>
      </c>
      <c r="H166" s="16">
        <v>30819.13</v>
      </c>
      <c r="I166" s="7">
        <f t="shared" si="38"/>
        <v>0.35984247967479671</v>
      </c>
      <c r="J166" s="3">
        <f t="shared" si="39"/>
        <v>2.3347162404507391</v>
      </c>
      <c r="K166" s="2">
        <f t="shared" si="40"/>
        <v>1.5660127032520326</v>
      </c>
      <c r="L166" s="4">
        <f t="shared" si="41"/>
        <v>0.27433943089430896</v>
      </c>
      <c r="M166" s="3">
        <f t="shared" si="37"/>
        <v>4.3519395060508073</v>
      </c>
      <c r="N166" t="str">
        <f t="shared" si="42"/>
        <v>Profitable</v>
      </c>
      <c r="O166" t="str">
        <f t="shared" si="43"/>
        <v>YES</v>
      </c>
      <c r="P166" s="8" t="str">
        <f t="shared" si="44"/>
        <v>YES</v>
      </c>
    </row>
    <row r="167" spans="1:16" x14ac:dyDescent="0.25">
      <c r="A167" s="15" t="s">
        <v>24</v>
      </c>
      <c r="B167" s="19" t="s">
        <v>17</v>
      </c>
      <c r="C167" s="19" t="s">
        <v>215</v>
      </c>
      <c r="D167" s="2">
        <v>15926.79</v>
      </c>
      <c r="E167">
        <v>14611</v>
      </c>
      <c r="F167">
        <v>2487</v>
      </c>
      <c r="G167" s="2">
        <v>3229.66</v>
      </c>
      <c r="H167" s="16">
        <v>6137.37</v>
      </c>
      <c r="I167" s="7">
        <f t="shared" si="38"/>
        <v>1.0900547532680858</v>
      </c>
      <c r="J167" s="3">
        <f t="shared" si="39"/>
        <v>0.20278160257026054</v>
      </c>
      <c r="K167" s="2">
        <f t="shared" si="40"/>
        <v>0.42005133118883031</v>
      </c>
      <c r="L167" s="4">
        <f t="shared" si="41"/>
        <v>0.17021422216138526</v>
      </c>
      <c r="M167" s="3">
        <f t="shared" si="37"/>
        <v>0.38534883677125142</v>
      </c>
      <c r="N167" t="str">
        <f t="shared" si="42"/>
        <v>Needs Optimization</v>
      </c>
      <c r="O167" t="str">
        <f t="shared" si="43"/>
        <v>NO</v>
      </c>
      <c r="P167" s="8" t="str">
        <f t="shared" si="44"/>
        <v>NO</v>
      </c>
    </row>
    <row r="168" spans="1:16" x14ac:dyDescent="0.25">
      <c r="A168" s="15" t="s">
        <v>26</v>
      </c>
      <c r="B168" s="19" t="s">
        <v>22</v>
      </c>
      <c r="C168" s="19" t="s">
        <v>216</v>
      </c>
      <c r="D168" s="2">
        <v>4018.11</v>
      </c>
      <c r="E168">
        <v>1886</v>
      </c>
      <c r="F168">
        <v>517</v>
      </c>
      <c r="G168" s="2">
        <v>231.04</v>
      </c>
      <c r="H168" s="16">
        <v>387.15</v>
      </c>
      <c r="I168" s="7">
        <f t="shared" si="38"/>
        <v>2.130493107104984</v>
      </c>
      <c r="J168" s="3">
        <f t="shared" si="39"/>
        <v>5.7499670242974928E-2</v>
      </c>
      <c r="K168" s="2">
        <f t="shared" si="40"/>
        <v>0.20527571580063625</v>
      </c>
      <c r="L168" s="4">
        <f t="shared" si="41"/>
        <v>0.27412513255567339</v>
      </c>
      <c r="M168" s="3">
        <f t="shared" si="37"/>
        <v>9.6351269626764824E-2</v>
      </c>
      <c r="N168" t="str">
        <f t="shared" si="42"/>
        <v>Needs Optimization</v>
      </c>
      <c r="O168" t="str">
        <f t="shared" si="43"/>
        <v>NO</v>
      </c>
      <c r="P168" s="8" t="str">
        <f t="shared" si="44"/>
        <v>NO</v>
      </c>
    </row>
    <row r="169" spans="1:16" x14ac:dyDescent="0.25">
      <c r="A169" s="15" t="s">
        <v>28</v>
      </c>
      <c r="B169" s="19" t="s">
        <v>18</v>
      </c>
      <c r="C169" s="19" t="s">
        <v>217</v>
      </c>
      <c r="D169" s="2">
        <v>13323.84</v>
      </c>
      <c r="E169">
        <v>14186</v>
      </c>
      <c r="F169">
        <v>3061</v>
      </c>
      <c r="G169" s="2">
        <v>5392.42</v>
      </c>
      <c r="H169" s="16">
        <v>8122.32</v>
      </c>
      <c r="I169" s="7">
        <f t="shared" si="38"/>
        <v>0.93922458762159877</v>
      </c>
      <c r="J169" s="3">
        <f t="shared" si="39"/>
        <v>0.40471966039820351</v>
      </c>
      <c r="K169" s="2">
        <f t="shared" si="40"/>
        <v>0.57255886084872409</v>
      </c>
      <c r="L169" s="4">
        <f t="shared" si="41"/>
        <v>0.21577611729874524</v>
      </c>
      <c r="M169" s="3">
        <f t="shared" si="37"/>
        <v>0.60960804092513865</v>
      </c>
      <c r="N169" t="str">
        <f t="shared" si="42"/>
        <v>Needs Optimization</v>
      </c>
      <c r="O169" t="str">
        <f t="shared" si="43"/>
        <v>NO</v>
      </c>
      <c r="P169" s="8" t="str">
        <f t="shared" si="44"/>
        <v>NO</v>
      </c>
    </row>
    <row r="170" spans="1:16" x14ac:dyDescent="0.25">
      <c r="A170" s="15" t="s">
        <v>11</v>
      </c>
      <c r="B170" s="19" t="s">
        <v>22</v>
      </c>
      <c r="C170" s="19" t="s">
        <v>218</v>
      </c>
      <c r="D170" s="2">
        <v>25296.73</v>
      </c>
      <c r="E170">
        <v>12357</v>
      </c>
      <c r="F170">
        <v>1671</v>
      </c>
      <c r="G170" s="2">
        <v>1967.68</v>
      </c>
      <c r="H170" s="16">
        <v>3948.44</v>
      </c>
      <c r="I170" s="7">
        <f t="shared" si="38"/>
        <v>2.0471578862183377</v>
      </c>
      <c r="J170" s="3">
        <f t="shared" si="39"/>
        <v>7.7783966544292482E-2</v>
      </c>
      <c r="K170" s="2">
        <f t="shared" si="40"/>
        <v>0.31953063041191226</v>
      </c>
      <c r="L170" s="4">
        <f t="shared" si="41"/>
        <v>0.13522699684389414</v>
      </c>
      <c r="M170" s="3">
        <f t="shared" si="37"/>
        <v>0.15608499596588177</v>
      </c>
      <c r="N170" t="str">
        <f t="shared" si="42"/>
        <v>Needs Optimization</v>
      </c>
      <c r="O170" t="str">
        <f t="shared" si="43"/>
        <v>NO</v>
      </c>
      <c r="P170" s="8" t="str">
        <f t="shared" si="44"/>
        <v>NO</v>
      </c>
    </row>
    <row r="171" spans="1:16" x14ac:dyDescent="0.25">
      <c r="A171" s="15" t="s">
        <v>29</v>
      </c>
      <c r="B171" s="19" t="s">
        <v>17</v>
      </c>
      <c r="C171" s="19" t="s">
        <v>219</v>
      </c>
      <c r="D171" s="2">
        <v>13081.47</v>
      </c>
      <c r="E171">
        <v>10667</v>
      </c>
      <c r="F171">
        <v>4248</v>
      </c>
      <c r="G171" s="2">
        <v>4214.83</v>
      </c>
      <c r="H171" s="16">
        <v>5865.59</v>
      </c>
      <c r="I171" s="7">
        <f t="shared" si="38"/>
        <v>1.2263494890784663</v>
      </c>
      <c r="J171" s="3">
        <f t="shared" si="39"/>
        <v>0.32219849909834292</v>
      </c>
      <c r="K171" s="2">
        <f t="shared" si="40"/>
        <v>0.5498818786912909</v>
      </c>
      <c r="L171" s="4">
        <f t="shared" si="41"/>
        <v>0.39823755507640385</v>
      </c>
      <c r="M171" s="3">
        <f t="shared" si="37"/>
        <v>0.44838921008113003</v>
      </c>
      <c r="N171" t="str">
        <f t="shared" si="42"/>
        <v>Needs Optimization</v>
      </c>
      <c r="O171" t="str">
        <f t="shared" si="43"/>
        <v>NO</v>
      </c>
      <c r="P171" s="8" t="str">
        <f t="shared" si="44"/>
        <v>NO</v>
      </c>
    </row>
    <row r="172" spans="1:16" x14ac:dyDescent="0.25">
      <c r="A172" s="15" t="s">
        <v>7</v>
      </c>
      <c r="B172" s="19" t="s">
        <v>17</v>
      </c>
      <c r="C172" s="19" t="s">
        <v>220</v>
      </c>
      <c r="D172" s="2">
        <v>16856.93</v>
      </c>
      <c r="E172">
        <v>6853</v>
      </c>
      <c r="F172">
        <v>3168</v>
      </c>
      <c r="G172" s="2">
        <v>3989.92</v>
      </c>
      <c r="H172" s="16">
        <v>9107.94</v>
      </c>
      <c r="I172" s="7">
        <f t="shared" si="38"/>
        <v>2.4597884138333579</v>
      </c>
      <c r="J172" s="3">
        <f t="shared" si="39"/>
        <v>0.23669315824411682</v>
      </c>
      <c r="K172" s="2">
        <f t="shared" si="40"/>
        <v>1.3290442142127536</v>
      </c>
      <c r="L172" s="4">
        <f t="shared" si="41"/>
        <v>0.4622792937399679</v>
      </c>
      <c r="M172" s="3">
        <f t="shared" si="37"/>
        <v>0.54030834796134286</v>
      </c>
      <c r="N172" t="str">
        <f t="shared" si="42"/>
        <v>Needs Optimization</v>
      </c>
      <c r="O172" t="str">
        <f t="shared" si="43"/>
        <v>NO</v>
      </c>
      <c r="P172" s="8" t="str">
        <f t="shared" si="44"/>
        <v>NO</v>
      </c>
    </row>
    <row r="173" spans="1:16" x14ac:dyDescent="0.25">
      <c r="A173" s="15" t="s">
        <v>6</v>
      </c>
      <c r="B173" s="19" t="s">
        <v>17</v>
      </c>
      <c r="C173" s="19" t="s">
        <v>221</v>
      </c>
      <c r="D173" s="2">
        <v>4878.53</v>
      </c>
      <c r="E173">
        <v>8887</v>
      </c>
      <c r="F173">
        <v>1589</v>
      </c>
      <c r="G173" s="2">
        <v>3114.47</v>
      </c>
      <c r="H173" s="16">
        <v>6498.69</v>
      </c>
      <c r="I173" s="7">
        <f t="shared" si="38"/>
        <v>0.54895127714639358</v>
      </c>
      <c r="J173" s="3">
        <f t="shared" si="39"/>
        <v>0.63840337150740079</v>
      </c>
      <c r="K173" s="2">
        <f t="shared" si="40"/>
        <v>0.73125801732868234</v>
      </c>
      <c r="L173" s="4">
        <f t="shared" si="41"/>
        <v>0.17880049510520984</v>
      </c>
      <c r="M173" s="3">
        <f t="shared" si="37"/>
        <v>1.3321000383312187</v>
      </c>
      <c r="N173" t="str">
        <f t="shared" si="42"/>
        <v>Needs Optimization</v>
      </c>
      <c r="O173" t="str">
        <f t="shared" si="43"/>
        <v>YES</v>
      </c>
      <c r="P173" s="8" t="str">
        <f t="shared" si="44"/>
        <v>NO</v>
      </c>
    </row>
    <row r="174" spans="1:16" x14ac:dyDescent="0.25">
      <c r="A174" s="15" t="s">
        <v>12</v>
      </c>
      <c r="B174" s="19" t="s">
        <v>18</v>
      </c>
      <c r="C174" s="19" t="s">
        <v>222</v>
      </c>
      <c r="D174" s="2">
        <v>15835.28</v>
      </c>
      <c r="E174">
        <v>18972</v>
      </c>
      <c r="F174">
        <v>7663</v>
      </c>
      <c r="G174" s="2">
        <v>14044.34</v>
      </c>
      <c r="H174" s="16">
        <v>27771.14</v>
      </c>
      <c r="I174" s="7">
        <f t="shared" si="38"/>
        <v>0.83466582331857475</v>
      </c>
      <c r="J174" s="3">
        <f t="shared" si="39"/>
        <v>0.88690190511313971</v>
      </c>
      <c r="K174" s="2">
        <f t="shared" si="40"/>
        <v>1.4637961205987771</v>
      </c>
      <c r="L174" s="4">
        <f t="shared" si="41"/>
        <v>0.40391102677630192</v>
      </c>
      <c r="M174" s="3">
        <f t="shared" si="37"/>
        <v>1.7537511177573113</v>
      </c>
      <c r="N174" t="str">
        <f t="shared" si="42"/>
        <v>Breakeven</v>
      </c>
      <c r="O174" t="str">
        <f t="shared" si="43"/>
        <v>YES</v>
      </c>
      <c r="P174" s="8" t="str">
        <f t="shared" si="44"/>
        <v>NO</v>
      </c>
    </row>
    <row r="175" spans="1:16" x14ac:dyDescent="0.25">
      <c r="A175" s="15" t="s">
        <v>7</v>
      </c>
      <c r="B175" s="19" t="s">
        <v>18</v>
      </c>
      <c r="C175" s="19" t="s">
        <v>223</v>
      </c>
      <c r="D175" s="2">
        <v>11049.83</v>
      </c>
      <c r="E175">
        <v>10859</v>
      </c>
      <c r="F175">
        <v>1741</v>
      </c>
      <c r="G175" s="2">
        <v>664.32</v>
      </c>
      <c r="H175" s="16">
        <v>1105.02</v>
      </c>
      <c r="I175" s="7">
        <f t="shared" si="38"/>
        <v>1.0175734413850261</v>
      </c>
      <c r="J175" s="3">
        <f t="shared" si="39"/>
        <v>6.0120381942527626E-2</v>
      </c>
      <c r="K175" s="2">
        <f t="shared" si="40"/>
        <v>0.1017607514504098</v>
      </c>
      <c r="L175" s="4">
        <f t="shared" si="41"/>
        <v>0.16032783865917671</v>
      </c>
      <c r="M175" s="3">
        <f t="shared" si="37"/>
        <v>0.1000033484678045</v>
      </c>
      <c r="N175" t="str">
        <f t="shared" si="42"/>
        <v>Needs Optimization</v>
      </c>
      <c r="O175" t="str">
        <f t="shared" si="43"/>
        <v>NO</v>
      </c>
      <c r="P175" s="8" t="str">
        <f t="shared" si="44"/>
        <v>NO</v>
      </c>
    </row>
    <row r="176" spans="1:16" x14ac:dyDescent="0.25">
      <c r="A176" s="15" t="s">
        <v>13</v>
      </c>
      <c r="B176" s="19" t="s">
        <v>18</v>
      </c>
      <c r="C176" s="19" t="s">
        <v>224</v>
      </c>
      <c r="D176" s="2">
        <v>3572.82</v>
      </c>
      <c r="E176">
        <v>17124</v>
      </c>
      <c r="F176">
        <v>2220</v>
      </c>
      <c r="G176" s="2">
        <v>847.79</v>
      </c>
      <c r="H176" s="16">
        <v>1477.26</v>
      </c>
      <c r="I176" s="7">
        <f t="shared" si="38"/>
        <v>0.20864400840925018</v>
      </c>
      <c r="J176" s="3">
        <f t="shared" si="39"/>
        <v>0.23728875230210308</v>
      </c>
      <c r="K176" s="2">
        <f t="shared" si="40"/>
        <v>8.6268395234758238E-2</v>
      </c>
      <c r="L176" s="4">
        <f t="shared" si="41"/>
        <v>0.1296426068675543</v>
      </c>
      <c r="M176" s="3">
        <f t="shared" si="37"/>
        <v>0.41347171142123029</v>
      </c>
      <c r="N176" t="str">
        <f t="shared" si="42"/>
        <v>Needs Optimization</v>
      </c>
      <c r="O176" t="str">
        <f t="shared" si="43"/>
        <v>NO</v>
      </c>
      <c r="P176" s="8" t="str">
        <f t="shared" si="44"/>
        <v>NO</v>
      </c>
    </row>
    <row r="177" spans="1:16" x14ac:dyDescent="0.25">
      <c r="A177" s="15" t="s">
        <v>15</v>
      </c>
      <c r="B177" s="19" t="s">
        <v>17</v>
      </c>
      <c r="C177" s="19" t="s">
        <v>225</v>
      </c>
      <c r="D177" s="2">
        <v>20050.66</v>
      </c>
      <c r="E177">
        <v>3458</v>
      </c>
      <c r="F177">
        <v>1196</v>
      </c>
      <c r="G177" s="2">
        <v>1399.13</v>
      </c>
      <c r="H177" s="16">
        <v>2749.54</v>
      </c>
      <c r="I177" s="7">
        <f t="shared" si="38"/>
        <v>5.7983400809716601</v>
      </c>
      <c r="J177" s="3">
        <f t="shared" si="39"/>
        <v>6.9779747898572927E-2</v>
      </c>
      <c r="K177" s="2">
        <f t="shared" si="40"/>
        <v>0.79512434933487564</v>
      </c>
      <c r="L177" s="4">
        <f t="shared" si="41"/>
        <v>0.34586466165413532</v>
      </c>
      <c r="M177" s="3">
        <f t="shared" si="37"/>
        <v>0.13712965059504276</v>
      </c>
      <c r="N177" t="str">
        <f t="shared" si="42"/>
        <v>Needs Optimization</v>
      </c>
      <c r="O177" t="str">
        <f t="shared" si="43"/>
        <v>NO</v>
      </c>
      <c r="P177" s="8" t="str">
        <f t="shared" si="44"/>
        <v>NO</v>
      </c>
    </row>
    <row r="178" spans="1:16" x14ac:dyDescent="0.25">
      <c r="A178" s="15" t="s">
        <v>8</v>
      </c>
      <c r="B178" s="19" t="s">
        <v>17</v>
      </c>
      <c r="C178" s="19" t="s">
        <v>226</v>
      </c>
      <c r="D178" s="2">
        <v>14592.54</v>
      </c>
      <c r="E178">
        <v>19232</v>
      </c>
      <c r="F178">
        <v>6937</v>
      </c>
      <c r="G178" s="2">
        <v>5986.95</v>
      </c>
      <c r="H178" s="16">
        <v>8866.8700000000008</v>
      </c>
      <c r="I178" s="7">
        <f t="shared" si="38"/>
        <v>0.75876351913477547</v>
      </c>
      <c r="J178" s="3">
        <f t="shared" si="39"/>
        <v>0.41027470200527116</v>
      </c>
      <c r="K178" s="2">
        <f t="shared" si="40"/>
        <v>0.46104773294509155</v>
      </c>
      <c r="L178" s="4">
        <f t="shared" si="41"/>
        <v>0.36070091514143093</v>
      </c>
      <c r="M178" s="3">
        <f t="shared" si="37"/>
        <v>0.60763033714486991</v>
      </c>
      <c r="N178" t="str">
        <f t="shared" si="42"/>
        <v>Needs Optimization</v>
      </c>
      <c r="O178" t="str">
        <f t="shared" si="43"/>
        <v>NO</v>
      </c>
      <c r="P178" s="8" t="str">
        <f t="shared" si="44"/>
        <v>NO</v>
      </c>
    </row>
    <row r="179" spans="1:16" x14ac:dyDescent="0.25">
      <c r="A179" s="15" t="s">
        <v>23</v>
      </c>
      <c r="B179" s="19" t="s">
        <v>22</v>
      </c>
      <c r="C179" s="19" t="s">
        <v>227</v>
      </c>
      <c r="D179" s="2">
        <v>4898.05</v>
      </c>
      <c r="E179">
        <v>11753</v>
      </c>
      <c r="F179">
        <v>5793</v>
      </c>
      <c r="G179" s="2">
        <v>3144.79</v>
      </c>
      <c r="H179" s="16">
        <v>4235.9399999999996</v>
      </c>
      <c r="I179" s="7">
        <f t="shared" si="38"/>
        <v>0.41674891517059476</v>
      </c>
      <c r="J179" s="3">
        <f t="shared" si="39"/>
        <v>0.64204938700094938</v>
      </c>
      <c r="K179" s="2">
        <f t="shared" si="40"/>
        <v>0.36041351144388661</v>
      </c>
      <c r="L179" s="4">
        <f t="shared" si="41"/>
        <v>0.49289543095379901</v>
      </c>
      <c r="M179" s="3">
        <f t="shared" si="37"/>
        <v>0.86482171476403857</v>
      </c>
      <c r="N179" t="str">
        <f t="shared" si="42"/>
        <v>Needs Optimization</v>
      </c>
      <c r="O179" t="str">
        <f t="shared" si="43"/>
        <v>NO</v>
      </c>
      <c r="P179" s="8" t="str">
        <f t="shared" si="44"/>
        <v>NO</v>
      </c>
    </row>
    <row r="180" spans="1:16" x14ac:dyDescent="0.25">
      <c r="A180" s="15" t="s">
        <v>31</v>
      </c>
      <c r="B180" s="19" t="s">
        <v>22</v>
      </c>
      <c r="C180" s="19" t="s">
        <v>228</v>
      </c>
      <c r="D180" s="2">
        <v>29747.61</v>
      </c>
      <c r="E180">
        <v>17672</v>
      </c>
      <c r="F180">
        <v>5462</v>
      </c>
      <c r="G180" s="2">
        <v>2614.41</v>
      </c>
      <c r="H180" s="16">
        <v>4286.25</v>
      </c>
      <c r="I180" s="7">
        <f t="shared" si="38"/>
        <v>1.6833188094160254</v>
      </c>
      <c r="J180" s="3">
        <f t="shared" si="39"/>
        <v>8.7886388183790215E-2</v>
      </c>
      <c r="K180" s="2">
        <f t="shared" si="40"/>
        <v>0.24254470348574014</v>
      </c>
      <c r="L180" s="4">
        <f t="shared" si="41"/>
        <v>0.30907650520597557</v>
      </c>
      <c r="M180" s="3">
        <f t="shared" si="37"/>
        <v>0.1440872056612279</v>
      </c>
      <c r="N180" t="str">
        <f t="shared" si="42"/>
        <v>Needs Optimization</v>
      </c>
      <c r="O180" t="str">
        <f t="shared" si="43"/>
        <v>NO</v>
      </c>
      <c r="P180" s="8" t="str">
        <f t="shared" si="44"/>
        <v>NO</v>
      </c>
    </row>
    <row r="181" spans="1:16" x14ac:dyDescent="0.25">
      <c r="A181" s="15" t="s">
        <v>28</v>
      </c>
      <c r="B181" s="19" t="s">
        <v>22</v>
      </c>
      <c r="C181" s="19" t="s">
        <v>229</v>
      </c>
      <c r="D181" s="2">
        <v>21009.14</v>
      </c>
      <c r="E181">
        <v>2215</v>
      </c>
      <c r="F181">
        <v>920</v>
      </c>
      <c r="G181" s="2">
        <v>511.49</v>
      </c>
      <c r="H181" s="16">
        <v>722.94</v>
      </c>
      <c r="I181" s="7">
        <f t="shared" si="38"/>
        <v>9.4849390519187349</v>
      </c>
      <c r="J181" s="3">
        <f t="shared" si="39"/>
        <v>2.4346070329389971E-2</v>
      </c>
      <c r="K181" s="2">
        <f t="shared" si="40"/>
        <v>0.32638374717832958</v>
      </c>
      <c r="L181" s="4">
        <f t="shared" si="41"/>
        <v>0.41534988713318283</v>
      </c>
      <c r="M181" s="3">
        <f t="shared" si="37"/>
        <v>3.4410737421903044E-2</v>
      </c>
      <c r="N181" t="str">
        <f t="shared" si="42"/>
        <v>Needs Optimization</v>
      </c>
      <c r="O181" t="str">
        <f t="shared" si="43"/>
        <v>NO</v>
      </c>
      <c r="P181" s="8" t="str">
        <f t="shared" si="44"/>
        <v>NO</v>
      </c>
    </row>
    <row r="182" spans="1:16" x14ac:dyDescent="0.25">
      <c r="A182" s="15" t="s">
        <v>26</v>
      </c>
      <c r="B182" s="19" t="s">
        <v>22</v>
      </c>
      <c r="C182" s="19" t="s">
        <v>230</v>
      </c>
      <c r="D182" s="2">
        <v>9956.1200000000008</v>
      </c>
      <c r="E182">
        <v>5427</v>
      </c>
      <c r="F182">
        <v>1266</v>
      </c>
      <c r="G182" s="2">
        <v>843.37</v>
      </c>
      <c r="H182" s="16">
        <v>1450.42</v>
      </c>
      <c r="I182" s="7">
        <f t="shared" si="38"/>
        <v>1.8345531601252996</v>
      </c>
      <c r="J182" s="3">
        <f t="shared" si="39"/>
        <v>8.4708701783425669E-2</v>
      </c>
      <c r="K182" s="2">
        <f t="shared" si="40"/>
        <v>0.26725999631472269</v>
      </c>
      <c r="L182" s="4">
        <f t="shared" si="41"/>
        <v>0.23327805417357655</v>
      </c>
      <c r="M182" s="3">
        <f t="shared" si="37"/>
        <v>0.14568124932202503</v>
      </c>
      <c r="N182" t="str">
        <f t="shared" si="42"/>
        <v>Needs Optimization</v>
      </c>
      <c r="O182" t="str">
        <f t="shared" si="43"/>
        <v>NO</v>
      </c>
      <c r="P182" s="8" t="str">
        <f t="shared" si="44"/>
        <v>NO</v>
      </c>
    </row>
    <row r="183" spans="1:16" x14ac:dyDescent="0.25">
      <c r="A183" s="15" t="s">
        <v>7</v>
      </c>
      <c r="B183" s="19" t="s">
        <v>18</v>
      </c>
      <c r="C183" s="19" t="s">
        <v>231</v>
      </c>
      <c r="D183" s="2">
        <v>20539.78</v>
      </c>
      <c r="E183">
        <v>4725</v>
      </c>
      <c r="F183">
        <v>1597</v>
      </c>
      <c r="G183" s="2">
        <v>2373.2800000000002</v>
      </c>
      <c r="H183" s="16">
        <v>4158.0200000000004</v>
      </c>
      <c r="I183" s="7">
        <f t="shared" si="38"/>
        <v>4.3470433862433859</v>
      </c>
      <c r="J183" s="3">
        <f t="shared" si="39"/>
        <v>0.11554554138359809</v>
      </c>
      <c r="K183" s="2">
        <f t="shared" si="40"/>
        <v>0.8800042328042329</v>
      </c>
      <c r="L183" s="4">
        <f t="shared" si="41"/>
        <v>0.33798941798941801</v>
      </c>
      <c r="M183" s="3">
        <f t="shared" si="37"/>
        <v>0.20243741656434494</v>
      </c>
      <c r="N183" t="str">
        <f t="shared" si="42"/>
        <v>Needs Optimization</v>
      </c>
      <c r="O183" t="str">
        <f t="shared" si="43"/>
        <v>NO</v>
      </c>
      <c r="P183" s="8" t="str">
        <f t="shared" si="44"/>
        <v>NO</v>
      </c>
    </row>
    <row r="184" spans="1:16" x14ac:dyDescent="0.25">
      <c r="A184" s="15" t="s">
        <v>9</v>
      </c>
      <c r="B184" s="19" t="s">
        <v>17</v>
      </c>
      <c r="C184" s="19" t="s">
        <v>232</v>
      </c>
      <c r="D184" s="2">
        <v>20763.259999999998</v>
      </c>
      <c r="E184">
        <v>17748</v>
      </c>
      <c r="F184">
        <v>2438</v>
      </c>
      <c r="G184" s="2">
        <v>3831.03</v>
      </c>
      <c r="H184" s="16">
        <v>5064.1499999999996</v>
      </c>
      <c r="I184" s="7">
        <f t="shared" si="38"/>
        <v>1.1698929456840206</v>
      </c>
      <c r="J184" s="3">
        <f t="shared" si="39"/>
        <v>0.18451004322057329</v>
      </c>
      <c r="K184" s="2">
        <f t="shared" si="40"/>
        <v>0.2853363759296822</v>
      </c>
      <c r="L184" s="4">
        <f t="shared" si="41"/>
        <v>0.13736759071444671</v>
      </c>
      <c r="M184" s="3">
        <f t="shared" si="37"/>
        <v>0.24389956105158825</v>
      </c>
      <c r="N184" t="str">
        <f t="shared" si="42"/>
        <v>Needs Optimization</v>
      </c>
      <c r="O184" t="str">
        <f t="shared" si="43"/>
        <v>NO</v>
      </c>
      <c r="P184" s="8" t="str">
        <f t="shared" si="44"/>
        <v>NO</v>
      </c>
    </row>
    <row r="185" spans="1:16" x14ac:dyDescent="0.25">
      <c r="A185" s="15" t="s">
        <v>15</v>
      </c>
      <c r="B185" s="19" t="s">
        <v>17</v>
      </c>
      <c r="C185" s="19" t="s">
        <v>233</v>
      </c>
      <c r="D185" s="2">
        <v>28632.74</v>
      </c>
      <c r="E185">
        <v>11697</v>
      </c>
      <c r="F185">
        <v>5603</v>
      </c>
      <c r="G185" s="2">
        <v>4080.95</v>
      </c>
      <c r="H185" s="16">
        <v>5978.91</v>
      </c>
      <c r="I185" s="7">
        <f t="shared" si="38"/>
        <v>2.4478703941181501</v>
      </c>
      <c r="J185" s="3">
        <f t="shared" si="39"/>
        <v>0.14252740045137138</v>
      </c>
      <c r="K185" s="2">
        <f t="shared" si="40"/>
        <v>0.51114901256732492</v>
      </c>
      <c r="L185" s="4">
        <f t="shared" si="41"/>
        <v>0.47901171240489016</v>
      </c>
      <c r="M185" s="3">
        <f t="shared" si="37"/>
        <v>0.20881375655979831</v>
      </c>
      <c r="N185" t="str">
        <f t="shared" si="42"/>
        <v>Needs Optimization</v>
      </c>
      <c r="O185" t="str">
        <f t="shared" si="43"/>
        <v>NO</v>
      </c>
      <c r="P185" s="8" t="str">
        <f t="shared" si="44"/>
        <v>NO</v>
      </c>
    </row>
    <row r="186" spans="1:16" x14ac:dyDescent="0.25">
      <c r="A186" s="15" t="s">
        <v>14</v>
      </c>
      <c r="B186" s="19" t="s">
        <v>22</v>
      </c>
      <c r="C186" s="19" t="s">
        <v>234</v>
      </c>
      <c r="D186" s="2">
        <v>25643.99</v>
      </c>
      <c r="E186">
        <v>3814</v>
      </c>
      <c r="F186">
        <v>1155</v>
      </c>
      <c r="G186" s="2">
        <v>2029.2</v>
      </c>
      <c r="H186" s="16">
        <v>3920.09</v>
      </c>
      <c r="I186" s="7">
        <f t="shared" si="38"/>
        <v>6.7236470896696385</v>
      </c>
      <c r="J186" s="3">
        <f t="shared" si="39"/>
        <v>7.9129651820952981E-2</v>
      </c>
      <c r="K186" s="2">
        <f t="shared" si="40"/>
        <v>1.0278159412690089</v>
      </c>
      <c r="L186" s="4">
        <f t="shared" si="41"/>
        <v>0.30283167278447826</v>
      </c>
      <c r="M186" s="3">
        <f t="shared" si="37"/>
        <v>0.15286583718056354</v>
      </c>
      <c r="N186" t="str">
        <f t="shared" si="42"/>
        <v>Needs Optimization</v>
      </c>
      <c r="O186" t="str">
        <f t="shared" si="43"/>
        <v>NO</v>
      </c>
      <c r="P186" s="8" t="str">
        <f t="shared" si="44"/>
        <v>NO</v>
      </c>
    </row>
    <row r="187" spans="1:16" x14ac:dyDescent="0.25">
      <c r="A187" s="15" t="s">
        <v>26</v>
      </c>
      <c r="B187" s="19" t="s">
        <v>22</v>
      </c>
      <c r="C187" s="19" t="s">
        <v>235</v>
      </c>
      <c r="D187" s="2">
        <v>26539</v>
      </c>
      <c r="E187">
        <v>4794</v>
      </c>
      <c r="F187">
        <v>1624</v>
      </c>
      <c r="G187" s="2">
        <v>506.85</v>
      </c>
      <c r="H187" s="16">
        <v>1080.31</v>
      </c>
      <c r="I187" s="7">
        <f t="shared" si="38"/>
        <v>5.5358781810596582</v>
      </c>
      <c r="J187" s="3">
        <f t="shared" si="39"/>
        <v>1.9098308150269416E-2</v>
      </c>
      <c r="K187" s="2">
        <f t="shared" si="40"/>
        <v>0.22534626616604087</v>
      </c>
      <c r="L187" s="4">
        <f t="shared" si="41"/>
        <v>0.33875677930746767</v>
      </c>
      <c r="M187" s="3">
        <f t="shared" si="37"/>
        <v>4.0706507404197588E-2</v>
      </c>
      <c r="N187" t="str">
        <f t="shared" si="42"/>
        <v>Needs Optimization</v>
      </c>
      <c r="O187" t="str">
        <f t="shared" si="43"/>
        <v>NO</v>
      </c>
      <c r="P187" s="8" t="str">
        <f t="shared" si="44"/>
        <v>NO</v>
      </c>
    </row>
    <row r="188" spans="1:16" x14ac:dyDescent="0.25">
      <c r="A188" s="15" t="s">
        <v>11</v>
      </c>
      <c r="B188" s="19" t="s">
        <v>17</v>
      </c>
      <c r="C188" s="19" t="s">
        <v>236</v>
      </c>
      <c r="D188" s="2">
        <v>22193.119999999999</v>
      </c>
      <c r="E188">
        <v>1931</v>
      </c>
      <c r="F188">
        <v>510</v>
      </c>
      <c r="G188" s="2">
        <v>494.35</v>
      </c>
      <c r="H188" s="16">
        <v>906.16</v>
      </c>
      <c r="I188" s="7">
        <f t="shared" si="38"/>
        <v>11.493070947695495</v>
      </c>
      <c r="J188" s="3">
        <f t="shared" si="39"/>
        <v>2.2274921236851784E-2</v>
      </c>
      <c r="K188" s="2">
        <f t="shared" si="40"/>
        <v>0.46926980838943549</v>
      </c>
      <c r="L188" s="4">
        <f t="shared" si="41"/>
        <v>0.2641118591403418</v>
      </c>
      <c r="M188" s="3">
        <f t="shared" si="37"/>
        <v>4.083067184785194E-2</v>
      </c>
      <c r="N188" t="str">
        <f t="shared" si="42"/>
        <v>Needs Optimization</v>
      </c>
      <c r="O188" t="str">
        <f t="shared" si="43"/>
        <v>NO</v>
      </c>
      <c r="P188" s="8" t="str">
        <f t="shared" si="44"/>
        <v>NO</v>
      </c>
    </row>
    <row r="189" spans="1:16" x14ac:dyDescent="0.25">
      <c r="A189" s="15" t="s">
        <v>15</v>
      </c>
      <c r="B189" s="19" t="s">
        <v>18</v>
      </c>
      <c r="C189" s="19" t="s">
        <v>237</v>
      </c>
      <c r="D189" s="2">
        <v>23946.41</v>
      </c>
      <c r="E189">
        <v>8167</v>
      </c>
      <c r="F189">
        <v>2561</v>
      </c>
      <c r="G189" s="2">
        <v>3231.09</v>
      </c>
      <c r="H189" s="16">
        <v>6018.93</v>
      </c>
      <c r="I189" s="7">
        <f t="shared" si="38"/>
        <v>2.9320937920901189</v>
      </c>
      <c r="J189" s="3">
        <f t="shared" si="39"/>
        <v>0.13493003752963389</v>
      </c>
      <c r="K189" s="2">
        <f t="shared" si="40"/>
        <v>0.73698175584670012</v>
      </c>
      <c r="L189" s="4">
        <f t="shared" si="41"/>
        <v>0.31357903759030242</v>
      </c>
      <c r="M189" s="3">
        <f t="shared" si="37"/>
        <v>0.25134999358985333</v>
      </c>
      <c r="N189" t="str">
        <f t="shared" si="42"/>
        <v>Needs Optimization</v>
      </c>
      <c r="O189" t="str">
        <f t="shared" si="43"/>
        <v>NO</v>
      </c>
      <c r="P189" s="8" t="str">
        <f t="shared" si="44"/>
        <v>NO</v>
      </c>
    </row>
    <row r="190" spans="1:16" x14ac:dyDescent="0.25">
      <c r="A190" s="15" t="s">
        <v>10</v>
      </c>
      <c r="B190" s="19" t="s">
        <v>22</v>
      </c>
      <c r="C190" s="19" t="s">
        <v>238</v>
      </c>
      <c r="D190" s="2">
        <v>20992.59</v>
      </c>
      <c r="E190">
        <v>19191</v>
      </c>
      <c r="F190">
        <v>9476</v>
      </c>
      <c r="G190" s="2">
        <v>7517.24</v>
      </c>
      <c r="H190" s="16">
        <v>13217.16</v>
      </c>
      <c r="I190" s="7">
        <f t="shared" si="38"/>
        <v>1.0938768172580897</v>
      </c>
      <c r="J190" s="3">
        <f t="shared" si="39"/>
        <v>0.35809016419603296</v>
      </c>
      <c r="K190" s="2">
        <f t="shared" si="40"/>
        <v>0.68871658589964047</v>
      </c>
      <c r="L190" s="4">
        <f t="shared" si="41"/>
        <v>0.49377312281798758</v>
      </c>
      <c r="M190" s="3">
        <f t="shared" si="37"/>
        <v>0.6296107340733087</v>
      </c>
      <c r="N190" t="str">
        <f t="shared" si="42"/>
        <v>Needs Optimization</v>
      </c>
      <c r="O190" t="str">
        <f t="shared" si="43"/>
        <v>NO</v>
      </c>
      <c r="P190" s="8" t="str">
        <f t="shared" si="44"/>
        <v>NO</v>
      </c>
    </row>
    <row r="191" spans="1:16" x14ac:dyDescent="0.25">
      <c r="A191" s="15" t="s">
        <v>29</v>
      </c>
      <c r="B191" s="19" t="s">
        <v>22</v>
      </c>
      <c r="C191" s="19" t="s">
        <v>239</v>
      </c>
      <c r="D191" s="2">
        <v>29055.51</v>
      </c>
      <c r="E191">
        <v>7043</v>
      </c>
      <c r="F191">
        <v>2961</v>
      </c>
      <c r="G191" s="2">
        <v>1036.01</v>
      </c>
      <c r="H191" s="16">
        <v>2143.9299999999998</v>
      </c>
      <c r="I191" s="7">
        <f t="shared" si="38"/>
        <v>4.1254451228169815</v>
      </c>
      <c r="J191" s="3">
        <f t="shared" si="39"/>
        <v>3.5656231812829994E-2</v>
      </c>
      <c r="K191" s="2">
        <f t="shared" si="40"/>
        <v>0.30440579298594345</v>
      </c>
      <c r="L191" s="4">
        <f t="shared" si="41"/>
        <v>0.42041743575181029</v>
      </c>
      <c r="M191" s="3">
        <f t="shared" si="37"/>
        <v>7.3787381463963284E-2</v>
      </c>
      <c r="N191" t="str">
        <f t="shared" si="42"/>
        <v>Needs Optimization</v>
      </c>
      <c r="O191" t="str">
        <f t="shared" si="43"/>
        <v>NO</v>
      </c>
      <c r="P191" s="8" t="str">
        <f t="shared" si="44"/>
        <v>NO</v>
      </c>
    </row>
    <row r="192" spans="1:16" x14ac:dyDescent="0.25">
      <c r="A192" s="15" t="s">
        <v>21</v>
      </c>
      <c r="B192" s="19" t="s">
        <v>18</v>
      </c>
      <c r="C192" s="19" t="s">
        <v>240</v>
      </c>
      <c r="D192" s="2">
        <v>28160.22</v>
      </c>
      <c r="E192">
        <v>17405</v>
      </c>
      <c r="F192">
        <v>7666</v>
      </c>
      <c r="G192" s="2">
        <v>8751.1200000000008</v>
      </c>
      <c r="H192" s="16">
        <v>14241.13</v>
      </c>
      <c r="I192" s="7">
        <f t="shared" si="38"/>
        <v>1.6179385234128125</v>
      </c>
      <c r="J192" s="3">
        <f t="shared" si="39"/>
        <v>0.31076177671907396</v>
      </c>
      <c r="K192" s="2">
        <f t="shared" si="40"/>
        <v>0.81822062625682268</v>
      </c>
      <c r="L192" s="4">
        <f t="shared" si="41"/>
        <v>0.44044814708417124</v>
      </c>
      <c r="M192" s="3">
        <f t="shared" si="37"/>
        <v>0.50571799510089044</v>
      </c>
      <c r="N192" t="str">
        <f t="shared" si="42"/>
        <v>Needs Optimization</v>
      </c>
      <c r="O192" t="str">
        <f t="shared" si="43"/>
        <v>NO</v>
      </c>
      <c r="P192" s="8" t="str">
        <f t="shared" si="44"/>
        <v>NO</v>
      </c>
    </row>
    <row r="193" spans="1:16" x14ac:dyDescent="0.25">
      <c r="A193" s="15" t="s">
        <v>29</v>
      </c>
      <c r="B193" s="19" t="s">
        <v>17</v>
      </c>
      <c r="C193" s="19" t="s">
        <v>241</v>
      </c>
      <c r="D193" s="2">
        <v>25269.31</v>
      </c>
      <c r="E193">
        <v>3505</v>
      </c>
      <c r="F193">
        <v>1677</v>
      </c>
      <c r="G193" s="2">
        <v>1091.3699999999999</v>
      </c>
      <c r="H193" s="16">
        <v>1876.61</v>
      </c>
      <c r="I193" s="7">
        <f t="shared" si="38"/>
        <v>7.209503566333809</v>
      </c>
      <c r="J193" s="3">
        <f t="shared" si="39"/>
        <v>4.318954494602345E-2</v>
      </c>
      <c r="K193" s="2">
        <f t="shared" si="40"/>
        <v>0.53540941512125528</v>
      </c>
      <c r="L193" s="4">
        <f t="shared" si="41"/>
        <v>0.47845934379457916</v>
      </c>
      <c r="M193" s="3">
        <f t="shared" si="37"/>
        <v>7.4264394239494463E-2</v>
      </c>
      <c r="N193" t="str">
        <f t="shared" si="42"/>
        <v>Needs Optimization</v>
      </c>
      <c r="O193" t="str">
        <f t="shared" si="43"/>
        <v>NO</v>
      </c>
      <c r="P193" s="8" t="str">
        <f t="shared" si="44"/>
        <v>NO</v>
      </c>
    </row>
    <row r="194" spans="1:16" x14ac:dyDescent="0.25">
      <c r="A194" s="15" t="s">
        <v>25</v>
      </c>
      <c r="B194" s="19" t="s">
        <v>22</v>
      </c>
      <c r="C194" s="19" t="s">
        <v>242</v>
      </c>
      <c r="D194" s="2">
        <v>3491.19</v>
      </c>
      <c r="E194">
        <v>16949</v>
      </c>
      <c r="F194">
        <v>4230</v>
      </c>
      <c r="G194" s="2">
        <v>1691.26</v>
      </c>
      <c r="H194" s="16">
        <v>2654.34</v>
      </c>
      <c r="I194" s="7">
        <f t="shared" si="38"/>
        <v>0.20598206383857456</v>
      </c>
      <c r="J194" s="3">
        <f t="shared" si="39"/>
        <v>0.48443653883059928</v>
      </c>
      <c r="K194" s="2">
        <f t="shared" si="40"/>
        <v>0.1566074694672252</v>
      </c>
      <c r="L194" s="4">
        <f t="shared" si="41"/>
        <v>0.24957224615021537</v>
      </c>
      <c r="M194" s="3">
        <f t="shared" si="37"/>
        <v>0.76029663238036305</v>
      </c>
      <c r="N194" t="str">
        <f t="shared" si="42"/>
        <v>Needs Optimization</v>
      </c>
      <c r="O194" t="str">
        <f t="shared" si="43"/>
        <v>NO</v>
      </c>
      <c r="P194" s="8" t="str">
        <f t="shared" si="44"/>
        <v>NO</v>
      </c>
    </row>
    <row r="195" spans="1:16" x14ac:dyDescent="0.25">
      <c r="A195" s="15" t="s">
        <v>9</v>
      </c>
      <c r="B195" s="19" t="s">
        <v>17</v>
      </c>
      <c r="C195" s="19" t="s">
        <v>243</v>
      </c>
      <c r="D195" s="2">
        <v>25496.94</v>
      </c>
      <c r="E195">
        <v>11486</v>
      </c>
      <c r="F195">
        <v>4784</v>
      </c>
      <c r="G195" s="2">
        <v>1814.43</v>
      </c>
      <c r="H195" s="16">
        <v>4165.41</v>
      </c>
      <c r="I195" s="7">
        <f t="shared" si="38"/>
        <v>2.2198276162284518</v>
      </c>
      <c r="J195" s="3">
        <f t="shared" si="39"/>
        <v>7.1162657165918741E-2</v>
      </c>
      <c r="K195" s="2">
        <f t="shared" si="40"/>
        <v>0.36265105345638166</v>
      </c>
      <c r="L195" s="4">
        <f t="shared" si="41"/>
        <v>0.41650705206338151</v>
      </c>
      <c r="M195" s="3">
        <f t="shared" si="37"/>
        <v>0.16336901604663148</v>
      </c>
      <c r="N195" t="str">
        <f t="shared" si="42"/>
        <v>Needs Optimization</v>
      </c>
      <c r="O195" t="str">
        <f t="shared" si="43"/>
        <v>NO</v>
      </c>
      <c r="P195" s="8" t="str">
        <f t="shared" si="44"/>
        <v>NO</v>
      </c>
    </row>
    <row r="196" spans="1:16" x14ac:dyDescent="0.25">
      <c r="A196" s="15" t="s">
        <v>31</v>
      </c>
      <c r="B196" s="19" t="s">
        <v>17</v>
      </c>
      <c r="C196" s="19" t="s">
        <v>244</v>
      </c>
      <c r="D196" s="2">
        <v>23247.55</v>
      </c>
      <c r="E196">
        <v>15871</v>
      </c>
      <c r="F196">
        <v>4435</v>
      </c>
      <c r="G196" s="2">
        <v>515.4</v>
      </c>
      <c r="H196" s="16">
        <v>828.3</v>
      </c>
      <c r="I196" s="7">
        <f t="shared" ref="I196:I203" si="45">IFERROR(D196/E196,"")</f>
        <v>1.4647816772730136</v>
      </c>
      <c r="J196" s="3">
        <f t="shared" ref="J196:J203" si="46">IFERROR(G196/D196,"")</f>
        <v>2.2170078137266076E-2</v>
      </c>
      <c r="K196" s="2">
        <f t="shared" ref="K196:K203" si="47">IFERROR(H196/E196,"")</f>
        <v>5.2189528070064897E-2</v>
      </c>
      <c r="L196" s="4">
        <f t="shared" ref="L196:L203" si="48">IFERROR(F196/E196,"")</f>
        <v>0.27944048894209567</v>
      </c>
      <c r="M196" s="3">
        <f t="shared" si="37"/>
        <v>3.5629560964488736E-2</v>
      </c>
      <c r="N196" t="str">
        <f t="shared" ref="N196:N203" si="49">IF(J196&gt;1,"Profitable",IF(J196&gt;=0.8,"Breakeven","Needs Optimization"))</f>
        <v>Needs Optimization</v>
      </c>
      <c r="O196" t="str">
        <f t="shared" ref="O196:O203" si="50">IF(K196&gt;I196,"YES","NO")</f>
        <v>NO</v>
      </c>
      <c r="P196" s="8" t="str">
        <f t="shared" ref="P196:P203" si="51">IF(AND(N196="Profitable",O196="YES"),"YES","NO")</f>
        <v>NO</v>
      </c>
    </row>
    <row r="197" spans="1:16" x14ac:dyDescent="0.25">
      <c r="A197" s="15" t="s">
        <v>6</v>
      </c>
      <c r="B197" s="19" t="s">
        <v>18</v>
      </c>
      <c r="C197" s="19" t="s">
        <v>245</v>
      </c>
      <c r="D197" s="2">
        <v>28326.33</v>
      </c>
      <c r="E197">
        <v>17794</v>
      </c>
      <c r="F197">
        <v>4791</v>
      </c>
      <c r="G197" s="2">
        <v>5205.47</v>
      </c>
      <c r="H197" s="16">
        <v>7528.24</v>
      </c>
      <c r="I197" s="7">
        <f t="shared" si="45"/>
        <v>1.5919034506013263</v>
      </c>
      <c r="J197" s="3">
        <f t="shared" si="46"/>
        <v>0.18376789368760443</v>
      </c>
      <c r="K197" s="2">
        <f t="shared" si="47"/>
        <v>0.42307744183432616</v>
      </c>
      <c r="L197" s="4">
        <f t="shared" si="48"/>
        <v>0.26924806114420591</v>
      </c>
      <c r="M197" s="3">
        <f t="shared" ref="M197:M203" si="52">IFERROR(K197/I197,"")</f>
        <v>0.26576827990071428</v>
      </c>
      <c r="N197" t="str">
        <f t="shared" si="49"/>
        <v>Needs Optimization</v>
      </c>
      <c r="O197" t="str">
        <f t="shared" si="50"/>
        <v>NO</v>
      </c>
      <c r="P197" s="8" t="str">
        <f t="shared" si="51"/>
        <v>NO</v>
      </c>
    </row>
    <row r="198" spans="1:16" x14ac:dyDescent="0.25">
      <c r="A198" s="15" t="s">
        <v>30</v>
      </c>
      <c r="B198" s="19" t="s">
        <v>22</v>
      </c>
      <c r="C198" s="19" t="s">
        <v>246</v>
      </c>
      <c r="D198" s="2">
        <v>19890.650000000001</v>
      </c>
      <c r="E198">
        <v>15478</v>
      </c>
      <c r="F198">
        <v>1936</v>
      </c>
      <c r="G198" s="2">
        <v>3609.61</v>
      </c>
      <c r="H198" s="16">
        <v>7014.43</v>
      </c>
      <c r="I198" s="7">
        <f t="shared" si="45"/>
        <v>1.2850917431192661</v>
      </c>
      <c r="J198" s="3">
        <f t="shared" si="46"/>
        <v>0.18147270199817503</v>
      </c>
      <c r="K198" s="2">
        <f t="shared" si="47"/>
        <v>0.4531871042770384</v>
      </c>
      <c r="L198" s="4">
        <f t="shared" si="48"/>
        <v>0.1250807597880863</v>
      </c>
      <c r="M198" s="3">
        <f t="shared" si="52"/>
        <v>0.35264961175225545</v>
      </c>
      <c r="N198" t="str">
        <f t="shared" si="49"/>
        <v>Needs Optimization</v>
      </c>
      <c r="O198" t="str">
        <f t="shared" si="50"/>
        <v>NO</v>
      </c>
      <c r="P198" s="8" t="str">
        <f t="shared" si="51"/>
        <v>NO</v>
      </c>
    </row>
    <row r="199" spans="1:16" x14ac:dyDescent="0.25">
      <c r="A199" s="15" t="s">
        <v>7</v>
      </c>
      <c r="B199" s="19" t="s">
        <v>18</v>
      </c>
      <c r="C199" s="19" t="s">
        <v>247</v>
      </c>
      <c r="D199" s="2">
        <v>18101.330000000002</v>
      </c>
      <c r="E199">
        <v>5204</v>
      </c>
      <c r="F199">
        <v>1126</v>
      </c>
      <c r="G199" s="2">
        <v>251</v>
      </c>
      <c r="H199" s="16">
        <v>498.18</v>
      </c>
      <c r="I199" s="7">
        <f t="shared" si="45"/>
        <v>3.4783493466564184</v>
      </c>
      <c r="J199" s="3">
        <f t="shared" si="46"/>
        <v>1.3866384403797952E-2</v>
      </c>
      <c r="K199" s="2">
        <f t="shared" si="47"/>
        <v>9.5730207532667186E-2</v>
      </c>
      <c r="L199" s="4">
        <f t="shared" si="48"/>
        <v>0.21637202152190624</v>
      </c>
      <c r="M199" s="3">
        <f t="shared" si="52"/>
        <v>2.7521734590773166E-2</v>
      </c>
      <c r="N199" t="str">
        <f t="shared" si="49"/>
        <v>Needs Optimization</v>
      </c>
      <c r="O199" t="str">
        <f t="shared" si="50"/>
        <v>NO</v>
      </c>
      <c r="P199" s="8" t="str">
        <f t="shared" si="51"/>
        <v>NO</v>
      </c>
    </row>
    <row r="200" spans="1:16" x14ac:dyDescent="0.25">
      <c r="A200" s="15" t="s">
        <v>12</v>
      </c>
      <c r="B200" s="19" t="s">
        <v>18</v>
      </c>
      <c r="C200" s="19" t="s">
        <v>248</v>
      </c>
      <c r="D200" s="2">
        <v>20710.02</v>
      </c>
      <c r="E200">
        <v>17653</v>
      </c>
      <c r="F200">
        <v>8647</v>
      </c>
      <c r="G200" s="2">
        <v>3746.76</v>
      </c>
      <c r="H200" s="16">
        <v>7151.79</v>
      </c>
      <c r="I200" s="7">
        <f t="shared" si="45"/>
        <v>1.1731728318132895</v>
      </c>
      <c r="J200" s="3">
        <f t="shared" si="46"/>
        <v>0.18091532504555766</v>
      </c>
      <c r="K200" s="2">
        <f t="shared" si="47"/>
        <v>0.40513170565909479</v>
      </c>
      <c r="L200" s="4">
        <f t="shared" si="48"/>
        <v>0.48983175664193057</v>
      </c>
      <c r="M200" s="3">
        <f t="shared" si="52"/>
        <v>0.34532994173834697</v>
      </c>
      <c r="N200" t="str">
        <f t="shared" si="49"/>
        <v>Needs Optimization</v>
      </c>
      <c r="O200" t="str">
        <f t="shared" si="50"/>
        <v>NO</v>
      </c>
      <c r="P200" s="8" t="str">
        <f t="shared" si="51"/>
        <v>NO</v>
      </c>
    </row>
    <row r="201" spans="1:16" x14ac:dyDescent="0.25">
      <c r="A201" s="15" t="s">
        <v>29</v>
      </c>
      <c r="B201" s="19" t="s">
        <v>18</v>
      </c>
      <c r="C201" s="19" t="s">
        <v>249</v>
      </c>
      <c r="D201" s="2">
        <v>2569.36</v>
      </c>
      <c r="E201">
        <v>15905</v>
      </c>
      <c r="F201">
        <v>1867</v>
      </c>
      <c r="G201" s="2">
        <v>1550.95</v>
      </c>
      <c r="H201" s="16">
        <v>3407.1</v>
      </c>
      <c r="I201" s="7">
        <f t="shared" si="45"/>
        <v>0.16154416850047157</v>
      </c>
      <c r="J201" s="3">
        <f t="shared" si="46"/>
        <v>0.6036328112837438</v>
      </c>
      <c r="K201" s="2">
        <f t="shared" si="47"/>
        <v>0.21421565545425966</v>
      </c>
      <c r="L201" s="4">
        <f t="shared" si="48"/>
        <v>0.11738447029236089</v>
      </c>
      <c r="M201" s="3">
        <f t="shared" si="52"/>
        <v>1.3260500669427404</v>
      </c>
      <c r="N201" t="str">
        <f t="shared" si="49"/>
        <v>Needs Optimization</v>
      </c>
      <c r="O201" t="str">
        <f t="shared" si="50"/>
        <v>YES</v>
      </c>
      <c r="P201" s="8" t="str">
        <f t="shared" si="51"/>
        <v>NO</v>
      </c>
    </row>
    <row r="202" spans="1:16" x14ac:dyDescent="0.25">
      <c r="A202" s="15" t="s">
        <v>21</v>
      </c>
      <c r="B202" s="19" t="s">
        <v>17</v>
      </c>
      <c r="C202" s="19" t="s">
        <v>250</v>
      </c>
      <c r="D202" s="2">
        <v>11654.47</v>
      </c>
      <c r="E202">
        <v>3896</v>
      </c>
      <c r="F202">
        <v>1591</v>
      </c>
      <c r="G202" s="2">
        <v>2009.87</v>
      </c>
      <c r="H202" s="16">
        <v>2719.76</v>
      </c>
      <c r="I202" s="7">
        <f t="shared" si="45"/>
        <v>2.9913937371663244</v>
      </c>
      <c r="J202" s="3">
        <f t="shared" si="46"/>
        <v>0.17245486066719465</v>
      </c>
      <c r="K202" s="2">
        <f t="shared" si="47"/>
        <v>0.69809034907597545</v>
      </c>
      <c r="L202" s="4">
        <f t="shared" si="48"/>
        <v>0.40836755646817247</v>
      </c>
      <c r="M202" s="3">
        <f t="shared" si="52"/>
        <v>0.23336625346326348</v>
      </c>
      <c r="N202" t="str">
        <f t="shared" si="49"/>
        <v>Needs Optimization</v>
      </c>
      <c r="O202" t="str">
        <f t="shared" si="50"/>
        <v>NO</v>
      </c>
      <c r="P202" s="8" t="str">
        <f t="shared" si="51"/>
        <v>NO</v>
      </c>
    </row>
    <row r="203" spans="1:16" ht="15.75" customHeight="1" thickBot="1" x14ac:dyDescent="0.3">
      <c r="A203" s="17" t="s">
        <v>4</v>
      </c>
      <c r="B203" s="20" t="s">
        <v>22</v>
      </c>
      <c r="C203" s="20" t="s">
        <v>251</v>
      </c>
      <c r="D203" s="11">
        <v>24778.25</v>
      </c>
      <c r="E203" s="13">
        <v>6237</v>
      </c>
      <c r="F203" s="13">
        <v>2695</v>
      </c>
      <c r="G203" s="11">
        <v>7206.98</v>
      </c>
      <c r="H203" s="18">
        <v>13507.59</v>
      </c>
      <c r="I203" s="9">
        <f t="shared" si="45"/>
        <v>3.9727833894500559</v>
      </c>
      <c r="J203" s="10">
        <f t="shared" si="46"/>
        <v>0.2908591203979296</v>
      </c>
      <c r="K203" s="11">
        <f t="shared" si="47"/>
        <v>2.1657190957190959</v>
      </c>
      <c r="L203" s="12">
        <f t="shared" si="48"/>
        <v>0.43209876543209874</v>
      </c>
      <c r="M203" s="3">
        <f t="shared" si="52"/>
        <v>0.54513898277723416</v>
      </c>
      <c r="N203" s="13" t="str">
        <f t="shared" si="49"/>
        <v>Needs Optimization</v>
      </c>
      <c r="O203" s="13" t="str">
        <f t="shared" si="50"/>
        <v>NO</v>
      </c>
      <c r="P203" s="14" t="str">
        <f t="shared" si="51"/>
        <v>NO</v>
      </c>
    </row>
  </sheetData>
  <mergeCells count="2">
    <mergeCell ref="A2:H2"/>
    <mergeCell ref="I2:P2"/>
  </mergeCells>
  <conditionalFormatting sqref="J4:J203">
    <cfRule type="cellIs" dxfId="6" priority="3" operator="lessThan">
      <formula>0.8</formula>
    </cfRule>
    <cfRule type="cellIs" dxfId="5" priority="4" operator="greaterThan">
      <formula>1</formula>
    </cfRule>
  </conditionalFormatting>
  <conditionalFormatting sqref="O4:P203">
    <cfRule type="cellIs" dxfId="4" priority="5" operator="equal">
      <formula>"YES"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67"/>
  <sheetViews>
    <sheetView showGridLines="0" tabSelected="1" zoomScale="80" zoomScaleNormal="80" workbookViewId="0">
      <selection activeCell="V29" sqref="V29"/>
    </sheetView>
  </sheetViews>
  <sheetFormatPr defaultRowHeight="15" x14ac:dyDescent="0.25"/>
  <cols>
    <col min="1" max="1" width="2.28515625" customWidth="1"/>
    <col min="2" max="2" width="29.140625" bestFit="1" customWidth="1"/>
    <col min="3" max="3" width="18.85546875" bestFit="1" customWidth="1"/>
    <col min="4" max="4" width="13.85546875" bestFit="1" customWidth="1"/>
    <col min="5" max="5" width="17" bestFit="1" customWidth="1"/>
    <col min="6" max="6" width="18.85546875" bestFit="1" customWidth="1"/>
    <col min="7" max="7" width="17" bestFit="1" customWidth="1"/>
    <col min="8" max="8" width="23" bestFit="1" customWidth="1"/>
    <col min="9" max="9" width="4.140625" customWidth="1"/>
    <col min="10" max="10" width="16.5703125" bestFit="1" customWidth="1"/>
    <col min="11" max="11" width="18.85546875" bestFit="1" customWidth="1"/>
    <col min="12" max="12" width="17.42578125" bestFit="1" customWidth="1"/>
    <col min="13" max="13" width="3.85546875" customWidth="1"/>
    <col min="14" max="14" width="16.85546875" bestFit="1" customWidth="1"/>
    <col min="15" max="15" width="12.5703125" bestFit="1" customWidth="1"/>
    <col min="16" max="16" width="47.28515625" bestFit="1" customWidth="1"/>
    <col min="17" max="17" width="18.85546875" bestFit="1" customWidth="1"/>
    <col min="18" max="18" width="16.140625" bestFit="1" customWidth="1"/>
    <col min="19" max="19" width="16.42578125" bestFit="1" customWidth="1"/>
    <col min="20" max="20" width="12.85546875" bestFit="1" customWidth="1"/>
    <col min="21" max="21" width="15.5703125" bestFit="1" customWidth="1"/>
    <col min="22" max="22" width="16.85546875" bestFit="1" customWidth="1"/>
    <col min="23" max="23" width="10.7109375" bestFit="1" customWidth="1"/>
    <col min="24" max="24" width="13.42578125" bestFit="1" customWidth="1"/>
    <col min="25" max="25" width="16" bestFit="1" customWidth="1"/>
    <col min="26" max="26" width="12.5703125" bestFit="1" customWidth="1"/>
    <col min="27" max="27" width="18" bestFit="1" customWidth="1"/>
    <col min="28" max="28" width="11.28515625" bestFit="1" customWidth="1"/>
  </cols>
  <sheetData>
    <row r="1" spans="2:10" ht="15.75" thickBot="1" x14ac:dyDescent="0.3">
      <c r="B1" s="33" t="s">
        <v>277</v>
      </c>
    </row>
    <row r="2" spans="2:10" x14ac:dyDescent="0.25">
      <c r="B2" s="60" t="s">
        <v>278</v>
      </c>
    </row>
    <row r="3" spans="2:10" x14ac:dyDescent="0.25">
      <c r="B3" t="s">
        <v>279</v>
      </c>
    </row>
    <row r="4" spans="2:10" x14ac:dyDescent="0.25">
      <c r="B4" s="60" t="s">
        <v>280</v>
      </c>
    </row>
    <row r="5" spans="2:10" x14ac:dyDescent="0.25">
      <c r="B5" t="s">
        <v>281</v>
      </c>
    </row>
    <row r="6" spans="2:10" x14ac:dyDescent="0.25">
      <c r="B6" s="60" t="s">
        <v>282</v>
      </c>
    </row>
    <row r="7" spans="2:10" x14ac:dyDescent="0.25">
      <c r="B7" t="s">
        <v>283</v>
      </c>
    </row>
    <row r="8" spans="2:10" x14ac:dyDescent="0.25">
      <c r="B8" s="60" t="s">
        <v>284</v>
      </c>
    </row>
    <row r="9" spans="2:10" x14ac:dyDescent="0.25">
      <c r="B9" t="s">
        <v>285</v>
      </c>
    </row>
    <row r="10" spans="2:10" x14ac:dyDescent="0.25">
      <c r="B10" s="60" t="s">
        <v>286</v>
      </c>
    </row>
    <row r="11" spans="2:10" x14ac:dyDescent="0.25">
      <c r="B11" t="s">
        <v>287</v>
      </c>
    </row>
    <row r="12" spans="2:10" ht="15.75" thickBot="1" x14ac:dyDescent="0.3"/>
    <row r="13" spans="2:10" ht="15.75" thickBot="1" x14ac:dyDescent="0.3">
      <c r="B13" s="33" t="s">
        <v>51</v>
      </c>
    </row>
    <row r="14" spans="2:10" ht="15.75" thickBot="1" x14ac:dyDescent="0.3">
      <c r="B14" s="28" t="s">
        <v>41</v>
      </c>
      <c r="C14" s="19" t="s">
        <v>0</v>
      </c>
    </row>
    <row r="15" spans="2:10" ht="15.75" thickBot="1" x14ac:dyDescent="0.3">
      <c r="J15" s="57" t="s">
        <v>49</v>
      </c>
    </row>
    <row r="16" spans="2:10" ht="15.75" hidden="1" thickBot="1" x14ac:dyDescent="0.3">
      <c r="C16" s="50" t="s">
        <v>47</v>
      </c>
    </row>
    <row r="17" spans="2:12" ht="15.75" thickBot="1" x14ac:dyDescent="0.3">
      <c r="B17" s="27" t="s">
        <v>34</v>
      </c>
      <c r="C17" t="s">
        <v>36</v>
      </c>
      <c r="D17" t="s">
        <v>35</v>
      </c>
      <c r="E17" t="s">
        <v>37</v>
      </c>
      <c r="F17" t="s">
        <v>38</v>
      </c>
      <c r="G17" t="s">
        <v>39</v>
      </c>
      <c r="H17" t="s">
        <v>40</v>
      </c>
      <c r="J17" s="45" t="s">
        <v>1</v>
      </c>
      <c r="K17" s="46" t="s">
        <v>2</v>
      </c>
      <c r="L17" s="47" t="s">
        <v>3</v>
      </c>
    </row>
    <row r="18" spans="2:12" x14ac:dyDescent="0.25">
      <c r="B18" s="51" t="s">
        <v>4</v>
      </c>
      <c r="C18" s="29">
        <v>4068.13</v>
      </c>
      <c r="D18" s="30">
        <v>11823</v>
      </c>
      <c r="E18" s="29">
        <v>0.34408610335786183</v>
      </c>
      <c r="F18" s="31">
        <v>2.0465668501252421</v>
      </c>
      <c r="G18" s="29">
        <v>1.4987921847246892</v>
      </c>
      <c r="H18" s="32">
        <v>0.49505201725450393</v>
      </c>
      <c r="J18" s="39" t="s">
        <v>11</v>
      </c>
      <c r="K18" s="40">
        <f>IF($J18="","",0.5*IFERROR(INDEX($F$18:$F$30,MATCH($J18,$B$18:$B$30,0)),"")+0.3*IFERROR(INDEX($G$18:$G$30,MATCH($J18,$B$18:$B$30,0)),"")+0.2*IFERROR(INDEX($H$18:$H$30,MATCH($J18,$B$18:$B$30,0)),""))</f>
        <v>2.6547812876007075</v>
      </c>
      <c r="L18" s="41">
        <f>IF($K18="","",RANK($K18,$K$18:$K$30,0)+COUNTIF($K$18:$K18,$K18)-1)</f>
        <v>1</v>
      </c>
    </row>
    <row r="19" spans="2:12" x14ac:dyDescent="0.25">
      <c r="B19" s="51" t="s">
        <v>5</v>
      </c>
      <c r="C19" s="29">
        <v>12888</v>
      </c>
      <c r="D19" s="30">
        <v>13748</v>
      </c>
      <c r="E19" s="29">
        <v>0.93744544661041607</v>
      </c>
      <c r="F19" s="31">
        <v>1.2516123525760399</v>
      </c>
      <c r="G19" s="29">
        <v>2.9061528949665405</v>
      </c>
      <c r="H19" s="32">
        <v>0.38965667733488507</v>
      </c>
      <c r="J19" s="15" t="s">
        <v>8</v>
      </c>
      <c r="K19" s="48">
        <f>IF($J19="","",0.5*IFERROR(INDEX($F$18:$F$30,MATCH($J19,$B$18:$B$30,0)),"")+0.3*IFERROR(INDEX($G$18:$G$30,MATCH($J19,$B$18:$B$30,0)),"")+0.2*IFERROR(INDEX($H$18:$H$30,MATCH($J19,$B$18:$B$30,0)),""))</f>
        <v>1.9852438588776327</v>
      </c>
      <c r="L19" s="42">
        <f>IF($K19="","",RANK($K19,$K$18:$K$30,0)+COUNTIF($K$18:$K19,$K19)-1)</f>
        <v>2</v>
      </c>
    </row>
    <row r="20" spans="2:12" x14ac:dyDescent="0.25">
      <c r="B20" s="51" t="s">
        <v>6</v>
      </c>
      <c r="C20" s="29">
        <v>9203.23</v>
      </c>
      <c r="D20" s="30">
        <v>30260</v>
      </c>
      <c r="E20" s="29">
        <v>0.3140268944595882</v>
      </c>
      <c r="F20" s="31">
        <v>2.3233019674469069</v>
      </c>
      <c r="G20" s="29">
        <v>1.3939632522513272</v>
      </c>
      <c r="H20" s="32">
        <v>0.32861318049354737</v>
      </c>
      <c r="J20" s="15" t="s">
        <v>7</v>
      </c>
      <c r="K20" s="48">
        <f>IF($J20="","",0.5*IFERROR(INDEX($F$18:$F$30,MATCH($J20,$B$18:$B$30,0)),"")+0.3*IFERROR(INDEX($G$18:$G$30,MATCH($J20,$B$18:$B$30,0)),"")+0.2*IFERROR(INDEX($H$18:$H$30,MATCH($J20,$B$18:$B$30,0)),""))</f>
        <v>1.7881914307734388</v>
      </c>
      <c r="L20" s="42">
        <f>IF($K20="","",RANK($K20,$K$18:$K$30,0)+COUNTIF($K$18:$K20,$K20)-1)</f>
        <v>3</v>
      </c>
    </row>
    <row r="21" spans="2:12" x14ac:dyDescent="0.25">
      <c r="B21" s="51" t="s">
        <v>7</v>
      </c>
      <c r="C21" s="29">
        <v>7252.74</v>
      </c>
      <c r="D21" s="30">
        <v>26834</v>
      </c>
      <c r="E21" s="29">
        <v>0.36781777262501647</v>
      </c>
      <c r="F21" s="31">
        <v>2.8827474130286896</v>
      </c>
      <c r="G21" s="29">
        <v>0.98662688152576172</v>
      </c>
      <c r="H21" s="32">
        <v>0.25414829900682756</v>
      </c>
      <c r="J21" s="15" t="s">
        <v>16</v>
      </c>
      <c r="K21" s="48">
        <f>IF($J21="","",0.5*IFERROR(INDEX($F$18:$F$30,MATCH($J21,$B$18:$B$30,0)),"")+0.3*IFERROR(INDEX($G$18:$G$30,MATCH($J21,$B$18:$B$30,0)),"")+0.2*IFERROR(INDEX($H$18:$H$30,MATCH($J21,$B$18:$B$30,0)),""))</f>
        <v>1.6920298173798412</v>
      </c>
      <c r="L21" s="42">
        <f>IF($K21="","",RANK($K21,$K$18:$K$30,0)+COUNTIF($K$18:$K21,$K21)-1)</f>
        <v>4</v>
      </c>
    </row>
    <row r="22" spans="2:12" ht="15.75" thickBot="1" x14ac:dyDescent="0.3">
      <c r="B22" s="51" t="s">
        <v>8</v>
      </c>
      <c r="C22" s="29">
        <v>3600.63</v>
      </c>
      <c r="D22" s="30">
        <v>19642</v>
      </c>
      <c r="E22" s="29">
        <v>0.18331279910396089</v>
      </c>
      <c r="F22" s="31">
        <v>3.3500526296786948</v>
      </c>
      <c r="G22" s="29">
        <v>0.84025608390184303</v>
      </c>
      <c r="H22" s="32">
        <v>0.29070359433866205</v>
      </c>
      <c r="J22" s="17" t="s">
        <v>6</v>
      </c>
      <c r="K22" s="43">
        <f>IF($J22="","",0.5*IFERROR(INDEX($F$18:$F$30,MATCH($J22,$B$18:$B$30,0)),"")+0.3*IFERROR(INDEX($G$18:$G$30,MATCH($J22,$B$18:$B$30,0)),"")+0.2*IFERROR(INDEX($H$18:$H$30,MATCH($J22,$B$18:$B$30,0)),""))</f>
        <v>1.6455625954975612</v>
      </c>
      <c r="L22" s="44">
        <f>IF($K22="","",RANK($K22,$K$18:$K$30,0)+COUNTIF($K$18:$K22,$K22)-1)</f>
        <v>5</v>
      </c>
    </row>
    <row r="23" spans="2:12" ht="15.75" thickBot="1" x14ac:dyDescent="0.3">
      <c r="B23" s="51" t="s">
        <v>9</v>
      </c>
      <c r="C23" s="29">
        <v>2260.83</v>
      </c>
      <c r="D23" s="30">
        <v>18948</v>
      </c>
      <c r="E23" s="29">
        <v>0.11931760607979734</v>
      </c>
      <c r="F23" s="31">
        <v>1.0422676627610215</v>
      </c>
      <c r="G23" s="29">
        <v>0.20124604179860672</v>
      </c>
      <c r="H23" s="32">
        <v>0.49841671944268523</v>
      </c>
      <c r="K23" s="48"/>
      <c r="L23" s="19"/>
    </row>
    <row r="24" spans="2:12" ht="15.75" thickBot="1" x14ac:dyDescent="0.3">
      <c r="B24" s="51" t="s">
        <v>10</v>
      </c>
      <c r="C24" s="29">
        <v>5347.53</v>
      </c>
      <c r="D24" s="30">
        <v>18059</v>
      </c>
      <c r="E24" s="29">
        <v>0.29611440279085222</v>
      </c>
      <c r="F24" s="31">
        <v>1.4266885833272558</v>
      </c>
      <c r="G24" s="29">
        <v>0.92364195138158256</v>
      </c>
      <c r="H24" s="32">
        <v>0.480314524613766</v>
      </c>
      <c r="J24" s="37" t="s">
        <v>43</v>
      </c>
      <c r="K24" s="38" t="s">
        <v>42</v>
      </c>
      <c r="L24" s="53"/>
    </row>
    <row r="25" spans="2:12" x14ac:dyDescent="0.25">
      <c r="B25" s="51" t="s">
        <v>11</v>
      </c>
      <c r="C25" s="29">
        <v>8542.73</v>
      </c>
      <c r="D25" s="30">
        <v>18633</v>
      </c>
      <c r="E25" s="29">
        <v>0.48990740292879226</v>
      </c>
      <c r="F25" s="31">
        <v>3.5849845493862587</v>
      </c>
      <c r="G25" s="29">
        <v>2.5663213259556223</v>
      </c>
      <c r="H25" s="32">
        <v>0.46196307560445665</v>
      </c>
      <c r="J25" s="34" t="s">
        <v>44</v>
      </c>
      <c r="K25" s="54">
        <v>0.5</v>
      </c>
    </row>
    <row r="26" spans="2:12" x14ac:dyDescent="0.25">
      <c r="B26" s="51" t="s">
        <v>12</v>
      </c>
      <c r="C26" s="29">
        <v>4211.1099999999997</v>
      </c>
      <c r="D26" s="30">
        <v>13035</v>
      </c>
      <c r="E26" s="29">
        <v>0.32306175680859223</v>
      </c>
      <c r="F26" s="31">
        <v>1.2764568011759372</v>
      </c>
      <c r="G26" s="29">
        <v>0.6069083237437668</v>
      </c>
      <c r="H26" s="32">
        <v>0.34783275795934021</v>
      </c>
      <c r="J26" s="35" t="s">
        <v>45</v>
      </c>
      <c r="K26" s="55">
        <v>0.3</v>
      </c>
    </row>
    <row r="27" spans="2:12" ht="15.75" thickBot="1" x14ac:dyDescent="0.3">
      <c r="B27" s="51" t="s">
        <v>13</v>
      </c>
      <c r="C27" s="29">
        <v>26840.880000000001</v>
      </c>
      <c r="D27" s="30">
        <v>32252</v>
      </c>
      <c r="E27" s="29">
        <v>0.80922516589576399</v>
      </c>
      <c r="F27" s="31">
        <v>1.701222417754912</v>
      </c>
      <c r="G27" s="29">
        <v>2.2728129969904232</v>
      </c>
      <c r="H27" s="32">
        <v>0.38836133113134974</v>
      </c>
      <c r="J27" s="36" t="s">
        <v>46</v>
      </c>
      <c r="K27" s="56">
        <v>0.2</v>
      </c>
    </row>
    <row r="28" spans="2:12" x14ac:dyDescent="0.25">
      <c r="B28" s="51" t="s">
        <v>14</v>
      </c>
      <c r="C28" s="29">
        <v>6656.71</v>
      </c>
      <c r="D28" s="30">
        <v>16413</v>
      </c>
      <c r="E28" s="29">
        <v>0.40557545847803572</v>
      </c>
      <c r="F28" s="31">
        <v>2.1893818417806994</v>
      </c>
      <c r="G28" s="29">
        <v>1.3297770060318042</v>
      </c>
      <c r="H28" s="32">
        <v>0.29251203314445867</v>
      </c>
      <c r="K28" s="48"/>
      <c r="L28" s="19"/>
    </row>
    <row r="29" spans="2:12" x14ac:dyDescent="0.25">
      <c r="B29" s="51" t="s">
        <v>15</v>
      </c>
      <c r="C29" s="29">
        <v>3621.9</v>
      </c>
      <c r="D29" s="30">
        <v>19091</v>
      </c>
      <c r="E29" s="29">
        <v>0.18971766801110471</v>
      </c>
      <c r="F29" s="31">
        <v>1.113904304370634</v>
      </c>
      <c r="G29" s="29">
        <v>0.292277512964224</v>
      </c>
      <c r="H29" s="32">
        <v>0.47875962495416691</v>
      </c>
      <c r="K29" s="48"/>
      <c r="L29" s="19"/>
    </row>
    <row r="30" spans="2:12" x14ac:dyDescent="0.25">
      <c r="B30" s="51" t="s">
        <v>16</v>
      </c>
      <c r="C30" s="29">
        <v>7081.7</v>
      </c>
      <c r="D30" s="30">
        <v>19680</v>
      </c>
      <c r="E30" s="29">
        <v>0.35984247967479671</v>
      </c>
      <c r="F30" s="31">
        <v>2.3347162404507391</v>
      </c>
      <c r="G30" s="29">
        <v>1.5660127032520326</v>
      </c>
      <c r="H30" s="32">
        <v>0.27433943089430896</v>
      </c>
      <c r="K30" s="48"/>
      <c r="L30" s="19"/>
    </row>
    <row r="31" spans="2:12" ht="15.75" thickBot="1" x14ac:dyDescent="0.3"/>
    <row r="32" spans="2:12" ht="15.75" thickBot="1" x14ac:dyDescent="0.3">
      <c r="B32" s="33" t="s">
        <v>50</v>
      </c>
    </row>
    <row r="33" spans="2:5" x14ac:dyDescent="0.25">
      <c r="B33" s="28" t="s">
        <v>41</v>
      </c>
      <c r="C33" t="s">
        <v>0</v>
      </c>
    </row>
    <row r="35" spans="2:5" x14ac:dyDescent="0.25">
      <c r="B35" s="27" t="s">
        <v>34</v>
      </c>
      <c r="C35" s="19" t="s">
        <v>38</v>
      </c>
      <c r="D35" s="19" t="s">
        <v>37</v>
      </c>
      <c r="E35" s="19" t="s">
        <v>39</v>
      </c>
    </row>
    <row r="36" spans="2:5" x14ac:dyDescent="0.25">
      <c r="B36" s="6" t="s">
        <v>6</v>
      </c>
      <c r="C36" s="31">
        <v>2.3233019674469069</v>
      </c>
      <c r="D36" s="29">
        <v>0.3140268944595882</v>
      </c>
      <c r="E36" s="29">
        <v>1.3939632522513272</v>
      </c>
    </row>
    <row r="37" spans="2:5" x14ac:dyDescent="0.25">
      <c r="B37" s="52" t="s">
        <v>17</v>
      </c>
      <c r="C37" s="31">
        <v>2.3233019674469069</v>
      </c>
      <c r="D37" s="29">
        <v>0.3140268944595882</v>
      </c>
      <c r="E37" s="29">
        <v>1.3939632522513272</v>
      </c>
    </row>
    <row r="38" spans="2:5" x14ac:dyDescent="0.25">
      <c r="B38" s="6" t="s">
        <v>7</v>
      </c>
      <c r="C38" s="31">
        <v>2.8827474130286896</v>
      </c>
      <c r="D38" s="29">
        <v>0.36781777262501647</v>
      </c>
      <c r="E38" s="29">
        <v>0.98662688152576172</v>
      </c>
    </row>
    <row r="39" spans="2:5" x14ac:dyDescent="0.25">
      <c r="B39" s="52" t="s">
        <v>18</v>
      </c>
      <c r="C39" s="31">
        <v>4.6493454406164796</v>
      </c>
      <c r="D39" s="29">
        <v>0.11883735875328015</v>
      </c>
      <c r="E39" s="29">
        <v>0.80730841321694424</v>
      </c>
    </row>
    <row r="40" spans="2:5" x14ac:dyDescent="0.25">
      <c r="B40" s="52" t="s">
        <v>22</v>
      </c>
      <c r="C40" s="31">
        <v>1.1161493854408995</v>
      </c>
      <c r="D40" s="29">
        <v>0.61679818649675278</v>
      </c>
      <c r="E40" s="29">
        <v>1.1659453498345791</v>
      </c>
    </row>
    <row r="41" spans="2:5" x14ac:dyDescent="0.25">
      <c r="B41" s="6" t="s">
        <v>8</v>
      </c>
      <c r="C41" s="31">
        <v>3.3500526296786948</v>
      </c>
      <c r="D41" s="29">
        <v>0.18331279910396089</v>
      </c>
      <c r="E41" s="29">
        <v>0.84025608390184303</v>
      </c>
    </row>
    <row r="42" spans="2:5" x14ac:dyDescent="0.25">
      <c r="B42" s="52" t="s">
        <v>22</v>
      </c>
      <c r="C42" s="31">
        <v>3.3500526296786948</v>
      </c>
      <c r="D42" s="29">
        <v>0.18331279910396089</v>
      </c>
      <c r="E42" s="29">
        <v>0.84025608390184303</v>
      </c>
    </row>
    <row r="43" spans="2:5" x14ac:dyDescent="0.25">
      <c r="B43" s="6" t="s">
        <v>11</v>
      </c>
      <c r="C43" s="31">
        <v>3.5849845493862587</v>
      </c>
      <c r="D43" s="29">
        <v>0.48990740292879226</v>
      </c>
      <c r="E43" s="29">
        <v>2.5663213259556223</v>
      </c>
    </row>
    <row r="44" spans="2:5" x14ac:dyDescent="0.25">
      <c r="B44" s="52" t="s">
        <v>18</v>
      </c>
      <c r="C44" s="31">
        <v>1.7944161112858337</v>
      </c>
      <c r="D44" s="29">
        <v>0.7663182754026886</v>
      </c>
      <c r="E44" s="29">
        <v>3.2420576480561945</v>
      </c>
    </row>
    <row r="45" spans="2:5" x14ac:dyDescent="0.25">
      <c r="B45" s="52" t="s">
        <v>17</v>
      </c>
      <c r="C45" s="31">
        <v>5.3755529874866834</v>
      </c>
      <c r="D45" s="29">
        <v>0.21349653045489589</v>
      </c>
      <c r="E45" s="29">
        <v>1.89058500385505</v>
      </c>
    </row>
    <row r="46" spans="2:5" x14ac:dyDescent="0.25">
      <c r="B46" s="6" t="s">
        <v>16</v>
      </c>
      <c r="C46" s="31">
        <v>2.3347162404507391</v>
      </c>
      <c r="D46" s="29">
        <v>0.35984247967479671</v>
      </c>
      <c r="E46" s="29">
        <v>1.5660127032520326</v>
      </c>
    </row>
    <row r="47" spans="2:5" x14ac:dyDescent="0.25">
      <c r="B47" s="52" t="s">
        <v>22</v>
      </c>
      <c r="C47" s="31">
        <v>2.3347162404507391</v>
      </c>
      <c r="D47" s="29">
        <v>0.35984247967479671</v>
      </c>
      <c r="E47" s="29">
        <v>1.5660127032520326</v>
      </c>
    </row>
    <row r="49" spans="2:5" ht="15.75" thickBot="1" x14ac:dyDescent="0.3"/>
    <row r="50" spans="2:5" ht="15.75" thickBot="1" x14ac:dyDescent="0.3">
      <c r="B50" s="33" t="s">
        <v>252</v>
      </c>
    </row>
    <row r="51" spans="2:5" x14ac:dyDescent="0.25">
      <c r="B51" s="5" t="s">
        <v>41</v>
      </c>
      <c r="C51" t="s">
        <v>0</v>
      </c>
    </row>
    <row r="53" spans="2:5" x14ac:dyDescent="0.25">
      <c r="B53" s="5" t="s">
        <v>34</v>
      </c>
      <c r="C53" t="s">
        <v>38</v>
      </c>
      <c r="D53" t="s">
        <v>37</v>
      </c>
      <c r="E53" t="s">
        <v>39</v>
      </c>
    </row>
    <row r="54" spans="2:5" x14ac:dyDescent="0.25">
      <c r="B54" s="6" t="s">
        <v>6</v>
      </c>
      <c r="C54" s="3">
        <v>2.3233019674469069</v>
      </c>
      <c r="D54" s="2">
        <v>0.3140268944595882</v>
      </c>
      <c r="E54" s="2">
        <v>1.3939632522513272</v>
      </c>
    </row>
    <row r="55" spans="2:5" x14ac:dyDescent="0.25">
      <c r="B55" s="49" t="s">
        <v>83</v>
      </c>
      <c r="C55" s="3">
        <v>2.8880178316943108</v>
      </c>
      <c r="D55" s="2">
        <v>0.34690140845070422</v>
      </c>
      <c r="E55" s="2">
        <v>1.8303781075716041</v>
      </c>
    </row>
    <row r="56" spans="2:5" x14ac:dyDescent="0.25">
      <c r="B56" s="49" t="s">
        <v>87</v>
      </c>
      <c r="C56" s="3">
        <v>1.7585861031995027</v>
      </c>
      <c r="D56" s="2">
        <v>0.28115238046847213</v>
      </c>
      <c r="E56" s="2">
        <v>0.95754839693105021</v>
      </c>
    </row>
    <row r="57" spans="2:5" x14ac:dyDescent="0.25">
      <c r="B57" s="6" t="s">
        <v>7</v>
      </c>
      <c r="C57" s="3">
        <v>2.8827474130286896</v>
      </c>
      <c r="D57" s="2">
        <v>0.36781777262501647</v>
      </c>
      <c r="E57" s="2">
        <v>0.98662688152576172</v>
      </c>
    </row>
    <row r="58" spans="2:5" x14ac:dyDescent="0.25">
      <c r="B58" s="49" t="s">
        <v>89</v>
      </c>
      <c r="C58" s="3">
        <v>4.6493454406164796</v>
      </c>
      <c r="D58" s="2">
        <v>0.11883735875328015</v>
      </c>
      <c r="E58" s="2">
        <v>0.80730841321694424</v>
      </c>
    </row>
    <row r="59" spans="2:5" x14ac:dyDescent="0.25">
      <c r="B59" s="49" t="s">
        <v>96</v>
      </c>
      <c r="C59" s="3">
        <v>1.1161493854408995</v>
      </c>
      <c r="D59" s="2">
        <v>0.61679818649675278</v>
      </c>
      <c r="E59" s="2">
        <v>1.1659453498345791</v>
      </c>
    </row>
    <row r="60" spans="2:5" x14ac:dyDescent="0.25">
      <c r="B60" s="6" t="s">
        <v>8</v>
      </c>
      <c r="C60" s="3">
        <v>3.3500526296786948</v>
      </c>
      <c r="D60" s="2">
        <v>0.18331279910396089</v>
      </c>
      <c r="E60" s="2">
        <v>0.84025608390184303</v>
      </c>
    </row>
    <row r="61" spans="2:5" x14ac:dyDescent="0.25">
      <c r="B61" s="49" t="s">
        <v>120</v>
      </c>
      <c r="C61" s="3">
        <v>3.3500526296786948</v>
      </c>
      <c r="D61" s="2">
        <v>0.18331279910396089</v>
      </c>
      <c r="E61" s="2">
        <v>0.84025608390184303</v>
      </c>
    </row>
    <row r="62" spans="2:5" x14ac:dyDescent="0.25">
      <c r="B62" s="6" t="s">
        <v>11</v>
      </c>
      <c r="C62" s="3">
        <v>3.5849845493862587</v>
      </c>
      <c r="D62" s="2">
        <v>0.48990740292879226</v>
      </c>
      <c r="E62" s="2">
        <v>2.5663213259556223</v>
      </c>
    </row>
    <row r="63" spans="2:5" x14ac:dyDescent="0.25">
      <c r="B63" s="49" t="s">
        <v>150</v>
      </c>
      <c r="C63" s="3">
        <v>1.7944161112858337</v>
      </c>
      <c r="D63" s="2">
        <v>0.7663182754026886</v>
      </c>
      <c r="E63" s="2">
        <v>3.2420576480561945</v>
      </c>
    </row>
    <row r="64" spans="2:5" x14ac:dyDescent="0.25">
      <c r="B64" s="49" t="s">
        <v>154</v>
      </c>
      <c r="C64" s="3">
        <v>5.3755529874866834</v>
      </c>
      <c r="D64" s="2">
        <v>0.21349653045489589</v>
      </c>
      <c r="E64" s="2">
        <v>1.89058500385505</v>
      </c>
    </row>
    <row r="65" spans="2:5" x14ac:dyDescent="0.25">
      <c r="B65" s="6" t="s">
        <v>16</v>
      </c>
      <c r="C65" s="3">
        <v>2.3347162404507391</v>
      </c>
      <c r="D65" s="2">
        <v>0.35984247967479671</v>
      </c>
      <c r="E65" s="2">
        <v>1.5660127032520326</v>
      </c>
    </row>
    <row r="66" spans="2:5" x14ac:dyDescent="0.25">
      <c r="B66" s="49" t="s">
        <v>214</v>
      </c>
      <c r="C66" s="3">
        <v>2.3347162404507391</v>
      </c>
      <c r="D66" s="2">
        <v>0.35984247967479671</v>
      </c>
      <c r="E66" s="2">
        <v>1.5660127032520326</v>
      </c>
    </row>
    <row r="67" spans="2:5" x14ac:dyDescent="0.25">
      <c r="B67" s="6" t="s">
        <v>48</v>
      </c>
      <c r="C67" s="3">
        <v>2.9083545912316429</v>
      </c>
      <c r="D67" s="2">
        <v>0.36083242735069393</v>
      </c>
      <c r="E67" s="2">
        <v>1.5375114633274123</v>
      </c>
    </row>
  </sheetData>
  <autoFilter ref="J17:L30" xr:uid="{00000000-0009-0000-0000-000001000000}">
    <sortState xmlns:xlrd2="http://schemas.microsoft.com/office/spreadsheetml/2017/richdata2" ref="J18:L30">
      <sortCondition ref="L17:L30"/>
    </sortState>
  </autoFilter>
  <pageMargins left="0.75" right="0.75" top="1" bottom="1" header="0.5" footer="0.5"/>
  <pageSetup orientation="portrait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7"/>
  <sheetViews>
    <sheetView workbookViewId="0">
      <pane ySplit="2" topLeftCell="A3" activePane="bottomLeft" state="frozen"/>
      <selection pane="bottomLeft" activeCell="K45" sqref="K45"/>
    </sheetView>
  </sheetViews>
  <sheetFormatPr defaultRowHeight="15" x14ac:dyDescent="0.25"/>
  <cols>
    <col min="1" max="1" width="18.85546875" bestFit="1" customWidth="1"/>
    <col min="2" max="2" width="20" style="19" bestFit="1" customWidth="1"/>
    <col min="3" max="3" width="23" style="19" customWidth="1"/>
    <col min="4" max="4" width="22.85546875" style="19" customWidth="1"/>
    <col min="5" max="5" width="19" style="19" bestFit="1" customWidth="1"/>
    <col min="6" max="6" width="18.5703125" style="19" bestFit="1" customWidth="1"/>
    <col min="7" max="7" width="29" style="19" bestFit="1" customWidth="1"/>
    <col min="8" max="8" width="18.28515625" style="19" bestFit="1" customWidth="1"/>
  </cols>
  <sheetData>
    <row r="2" spans="1:8" x14ac:dyDescent="0.25">
      <c r="A2" s="1" t="s">
        <v>1</v>
      </c>
      <c r="B2" s="1" t="s">
        <v>255</v>
      </c>
      <c r="C2" s="1" t="s">
        <v>253</v>
      </c>
      <c r="D2" s="1" t="s">
        <v>254</v>
      </c>
      <c r="E2" s="1" t="s">
        <v>256</v>
      </c>
      <c r="F2" s="1" t="s">
        <v>257</v>
      </c>
      <c r="G2" s="1" t="s">
        <v>258</v>
      </c>
      <c r="H2" s="1" t="s">
        <v>259</v>
      </c>
    </row>
    <row r="3" spans="1:8" x14ac:dyDescent="0.25">
      <c r="A3" t="s">
        <v>6</v>
      </c>
      <c r="B3" s="31">
        <f>IFERROR(INDEX('UA Investment Analysis'!$F:$F, MATCH($A3, 'UA Investment Analysis'!$B:$B, 0)), "")</f>
        <v>2.3233019674469069</v>
      </c>
      <c r="C3" s="31">
        <f>IF($B3="","",$B3*1.15)</f>
        <v>2.6717972625639428</v>
      </c>
      <c r="D3" s="58">
        <v>0.03</v>
      </c>
      <c r="E3" s="32">
        <f>IFERROR(INDEX('UA Investment Analysis'!$H:$H, MATCH($A3, 'UA Investment Analysis'!$B:$B, 0)), "")</f>
        <v>0.32861318049354737</v>
      </c>
      <c r="F3" s="32">
        <f>IF($E3="","",$E3*0.65)</f>
        <v>0.21359856732080579</v>
      </c>
      <c r="G3" s="29">
        <f>IFERROR(INDEX('UA Investment Analysis'!$G:$G, MATCH($A3, 'UA Investment Analysis'!$B:$B, 0)), "")</f>
        <v>1.3939632522513272</v>
      </c>
      <c r="H3" s="19" t="str">
        <f t="shared" ref="H3:H7" si="0">IF(AND(C3&gt;1.05,D3&lt;=0.05,G3&gt;0),"KEEP INVESTING","REVIEW / OPTIMIZE")</f>
        <v>KEEP INVESTING</v>
      </c>
    </row>
    <row r="4" spans="1:8" x14ac:dyDescent="0.25">
      <c r="A4" t="s">
        <v>7</v>
      </c>
      <c r="B4" s="31">
        <f>IFERROR(INDEX('UA Investment Analysis'!$F:$F, MATCH($A4, 'UA Investment Analysis'!$B:$B, 0)), "")</f>
        <v>2.8827474130286896</v>
      </c>
      <c r="C4" s="31">
        <f>IF($B4="","",$B4*1.15)</f>
        <v>3.315159524982993</v>
      </c>
      <c r="D4" s="58">
        <v>0.03</v>
      </c>
      <c r="E4" s="32">
        <f>IFERROR(INDEX('UA Investment Analysis'!$H:$H, MATCH($A4, 'UA Investment Analysis'!$B:$B, 0)), "")</f>
        <v>0.25414829900682756</v>
      </c>
      <c r="F4" s="32">
        <f>IF($E4="","",$E4*0.65)</f>
        <v>0.16519639435443792</v>
      </c>
      <c r="G4" s="29">
        <f>IFERROR(INDEX('UA Investment Analysis'!$G:$G, MATCH($A4, 'UA Investment Analysis'!$B:$B, 0)), "")</f>
        <v>0.98662688152576172</v>
      </c>
      <c r="H4" s="19" t="str">
        <f t="shared" si="0"/>
        <v>KEEP INVESTING</v>
      </c>
    </row>
    <row r="5" spans="1:8" x14ac:dyDescent="0.25">
      <c r="A5" t="s">
        <v>8</v>
      </c>
      <c r="B5" s="31">
        <f>IFERROR(INDEX('UA Investment Analysis'!$F:$F, MATCH($A5, 'UA Investment Analysis'!$B:$B, 0)), "")</f>
        <v>3.3500526296786948</v>
      </c>
      <c r="C5" s="31">
        <f>IF($B5="","",$B5*1.15)</f>
        <v>3.8525605241304985</v>
      </c>
      <c r="D5" s="58">
        <v>0.03</v>
      </c>
      <c r="E5" s="32">
        <f>IFERROR(INDEX('UA Investment Analysis'!$H:$H, MATCH($A5, 'UA Investment Analysis'!$B:$B, 0)), "")</f>
        <v>0.29070359433866205</v>
      </c>
      <c r="F5" s="32">
        <f>IF($E5="","",$E5*0.65)</f>
        <v>0.18895733632013034</v>
      </c>
      <c r="G5" s="29">
        <f>IFERROR(INDEX('UA Investment Analysis'!$G:$G, MATCH($A5, 'UA Investment Analysis'!$B:$B, 0)), "")</f>
        <v>0.84025608390184303</v>
      </c>
      <c r="H5" s="19" t="str">
        <f t="shared" si="0"/>
        <v>KEEP INVESTING</v>
      </c>
    </row>
    <row r="6" spans="1:8" x14ac:dyDescent="0.25">
      <c r="A6" t="s">
        <v>11</v>
      </c>
      <c r="B6" s="31">
        <f>IFERROR(INDEX('UA Investment Analysis'!$F:$F, MATCH($A6, 'UA Investment Analysis'!$B:$B, 0)), "")</f>
        <v>3.5849845493862587</v>
      </c>
      <c r="C6" s="31">
        <f>IF($B6="","",$B6*1.15)</f>
        <v>4.1227322317941972</v>
      </c>
      <c r="D6" s="58">
        <v>0.03</v>
      </c>
      <c r="E6" s="32">
        <f>IFERROR(INDEX('UA Investment Analysis'!$H:$H, MATCH($A6, 'UA Investment Analysis'!$B:$B, 0)), "")</f>
        <v>0.46196307560445665</v>
      </c>
      <c r="F6" s="32">
        <f>IF($E6="","",$E6*0.65)</f>
        <v>0.30027599914289682</v>
      </c>
      <c r="G6" s="29">
        <f>IFERROR(INDEX('UA Investment Analysis'!$G:$G, MATCH($A6, 'UA Investment Analysis'!$B:$B, 0)), "")</f>
        <v>2.5663213259556223</v>
      </c>
      <c r="H6" s="19" t="str">
        <f t="shared" si="0"/>
        <v>KEEP INVESTING</v>
      </c>
    </row>
    <row r="7" spans="1:8" x14ac:dyDescent="0.25">
      <c r="A7" t="s">
        <v>16</v>
      </c>
      <c r="B7" s="31">
        <f>IFERROR(INDEX('UA Investment Analysis'!$F:$F, MATCH($A7, 'UA Investment Analysis'!$B:$B, 0)), "")</f>
        <v>2.3347162404507391</v>
      </c>
      <c r="C7" s="31">
        <f>IF($B7="","",$B7*0.95)</f>
        <v>2.2179804284282021</v>
      </c>
      <c r="D7" s="58">
        <v>0.08</v>
      </c>
      <c r="E7" s="32">
        <f>IFERROR(INDEX('UA Investment Analysis'!$H:$H, MATCH($A7, 'UA Investment Analysis'!$B:$B, 0)), "")</f>
        <v>0.27433943089430896</v>
      </c>
      <c r="F7" s="32">
        <f>IF($E7="","",$E7*0.65)</f>
        <v>0.17832063008130083</v>
      </c>
      <c r="G7" s="29">
        <f>IFERROR(INDEX('UA Investment Analysis'!$G:$G, MATCH($A7, 'UA Investment Analysis'!$B:$B, 0)), "")</f>
        <v>1.5660127032520326</v>
      </c>
      <c r="H7" s="19" t="str">
        <f t="shared" si="0"/>
        <v>REVIEW / OPTIMIZE</v>
      </c>
    </row>
  </sheetData>
  <conditionalFormatting sqref="C3:C7">
    <cfRule type="cellIs" dxfId="3" priority="1" operator="lessThan">
      <formula>0.8</formula>
    </cfRule>
    <cfRule type="cellIs" dxfId="2" priority="2" operator="greaterThan">
      <formula>1</formula>
    </cfRule>
  </conditionalFormatting>
  <conditionalFormatting sqref="H3:H7">
    <cfRule type="cellIs" dxfId="1" priority="3" operator="equal">
      <formula>"KEEP INVESTING"</formula>
    </cfRule>
    <cfRule type="cellIs" dxfId="0" priority="4" operator="equal">
      <formula>"REVIEW / OPTIMIZE"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03C95-65EC-41A6-8762-AB209BE93059}">
  <dimension ref="B2:H41"/>
  <sheetViews>
    <sheetView workbookViewId="0">
      <selection activeCell="D32" sqref="D32"/>
    </sheetView>
  </sheetViews>
  <sheetFormatPr defaultRowHeight="15" x14ac:dyDescent="0.25"/>
  <cols>
    <col min="2" max="2" width="18.85546875" bestFit="1" customWidth="1"/>
    <col min="3" max="3" width="15.42578125" bestFit="1" customWidth="1"/>
    <col min="4" max="4" width="18.85546875" bestFit="1" customWidth="1"/>
    <col min="5" max="5" width="13.85546875" bestFit="1" customWidth="1"/>
    <col min="6" max="6" width="18.85546875" bestFit="1" customWidth="1"/>
    <col min="7" max="7" width="17" bestFit="1" customWidth="1"/>
    <col min="8" max="8" width="23" bestFit="1" customWidth="1"/>
  </cols>
  <sheetData>
    <row r="2" spans="2:8" x14ac:dyDescent="0.25">
      <c r="B2" t="s">
        <v>34</v>
      </c>
      <c r="C2" t="s">
        <v>36</v>
      </c>
      <c r="D2" t="s">
        <v>35</v>
      </c>
      <c r="E2" t="s">
        <v>37</v>
      </c>
      <c r="F2" t="s">
        <v>38</v>
      </c>
      <c r="G2" t="s">
        <v>39</v>
      </c>
      <c r="H2" t="s">
        <v>40</v>
      </c>
    </row>
    <row r="3" spans="2:8" x14ac:dyDescent="0.25">
      <c r="B3" t="s">
        <v>4</v>
      </c>
      <c r="C3" s="29">
        <v>4068.13</v>
      </c>
      <c r="D3" s="30">
        <v>11823</v>
      </c>
      <c r="E3" s="29">
        <v>0.34408610335786183</v>
      </c>
      <c r="F3" s="31">
        <v>2.0465668501252421</v>
      </c>
      <c r="G3" s="29">
        <v>1.4987921847246892</v>
      </c>
      <c r="H3" s="32">
        <v>0.49505201725450393</v>
      </c>
    </row>
    <row r="4" spans="2:8" x14ac:dyDescent="0.25">
      <c r="B4" t="s">
        <v>5</v>
      </c>
      <c r="C4" s="29">
        <v>12888</v>
      </c>
      <c r="D4" s="30">
        <v>13748</v>
      </c>
      <c r="E4" s="29">
        <v>0.93744544661041607</v>
      </c>
      <c r="F4" s="31">
        <v>1.2516123525760399</v>
      </c>
      <c r="G4" s="29">
        <v>2.9061528949665405</v>
      </c>
      <c r="H4" s="32">
        <v>0.38965667733488507</v>
      </c>
    </row>
    <row r="5" spans="2:8" x14ac:dyDescent="0.25">
      <c r="B5" t="s">
        <v>6</v>
      </c>
      <c r="C5" s="29">
        <v>9203.23</v>
      </c>
      <c r="D5" s="30">
        <v>30260</v>
      </c>
      <c r="E5" s="29">
        <v>0.3140268944595882</v>
      </c>
      <c r="F5" s="31">
        <v>2.3233019674469069</v>
      </c>
      <c r="G5" s="29">
        <v>1.3939632522513272</v>
      </c>
      <c r="H5" s="32">
        <v>0.32861318049354737</v>
      </c>
    </row>
    <row r="6" spans="2:8" x14ac:dyDescent="0.25">
      <c r="B6" t="s">
        <v>7</v>
      </c>
      <c r="C6" s="29">
        <v>7252.74</v>
      </c>
      <c r="D6" s="30">
        <v>26834</v>
      </c>
      <c r="E6" s="29">
        <v>0.36781777262501647</v>
      </c>
      <c r="F6" s="31">
        <v>2.8827474130286896</v>
      </c>
      <c r="G6" s="29">
        <v>0.98662688152576172</v>
      </c>
      <c r="H6" s="32">
        <v>0.25414829900682756</v>
      </c>
    </row>
    <row r="7" spans="2:8" x14ac:dyDescent="0.25">
      <c r="B7" t="s">
        <v>8</v>
      </c>
      <c r="C7" s="29">
        <v>3600.63</v>
      </c>
      <c r="D7" s="30">
        <v>19642</v>
      </c>
      <c r="E7" s="29">
        <v>0.18331279910396089</v>
      </c>
      <c r="F7" s="31">
        <v>3.3500526296786948</v>
      </c>
      <c r="G7" s="29">
        <v>0.84025608390184303</v>
      </c>
      <c r="H7" s="32">
        <v>0.29070359433866205</v>
      </c>
    </row>
    <row r="8" spans="2:8" x14ac:dyDescent="0.25">
      <c r="B8" t="s">
        <v>9</v>
      </c>
      <c r="C8" s="29">
        <v>2260.83</v>
      </c>
      <c r="D8" s="30">
        <v>18948</v>
      </c>
      <c r="E8" s="29">
        <v>0.11931760607979734</v>
      </c>
      <c r="F8" s="31">
        <v>1.0422676627610215</v>
      </c>
      <c r="G8" s="29">
        <v>0.20124604179860672</v>
      </c>
      <c r="H8" s="32">
        <v>0.49841671944268523</v>
      </c>
    </row>
    <row r="9" spans="2:8" x14ac:dyDescent="0.25">
      <c r="B9" t="s">
        <v>10</v>
      </c>
      <c r="C9" s="29">
        <v>5347.53</v>
      </c>
      <c r="D9" s="30">
        <v>18059</v>
      </c>
      <c r="E9" s="29">
        <v>0.29611440279085222</v>
      </c>
      <c r="F9" s="31">
        <v>1.4266885833272558</v>
      </c>
      <c r="G9" s="29">
        <v>0.92364195138158256</v>
      </c>
      <c r="H9" s="32">
        <v>0.480314524613766</v>
      </c>
    </row>
    <row r="10" spans="2:8" x14ac:dyDescent="0.25">
      <c r="B10" t="s">
        <v>11</v>
      </c>
      <c r="C10" s="29">
        <v>8542.73</v>
      </c>
      <c r="D10" s="30">
        <v>18633</v>
      </c>
      <c r="E10" s="29">
        <v>0.48990740292879226</v>
      </c>
      <c r="F10" s="31">
        <v>3.5849845493862587</v>
      </c>
      <c r="G10" s="29">
        <v>2.5663213259556223</v>
      </c>
      <c r="H10" s="32">
        <v>0.46196307560445665</v>
      </c>
    </row>
    <row r="11" spans="2:8" x14ac:dyDescent="0.25">
      <c r="B11" t="s">
        <v>12</v>
      </c>
      <c r="C11" s="29">
        <v>4211.1099999999997</v>
      </c>
      <c r="D11" s="30">
        <v>13035</v>
      </c>
      <c r="E11" s="29">
        <v>0.32306175680859223</v>
      </c>
      <c r="F11" s="31">
        <v>1.2764568011759372</v>
      </c>
      <c r="G11" s="29">
        <v>0.6069083237437668</v>
      </c>
      <c r="H11" s="32">
        <v>0.34783275795934021</v>
      </c>
    </row>
    <row r="12" spans="2:8" x14ac:dyDescent="0.25">
      <c r="B12" t="s">
        <v>13</v>
      </c>
      <c r="C12" s="29">
        <v>26840.880000000001</v>
      </c>
      <c r="D12" s="30">
        <v>32252</v>
      </c>
      <c r="E12" s="29">
        <v>0.80922516589576399</v>
      </c>
      <c r="F12" s="31">
        <v>1.701222417754912</v>
      </c>
      <c r="G12" s="29">
        <v>2.2728129969904232</v>
      </c>
      <c r="H12" s="32">
        <v>0.38836133113134974</v>
      </c>
    </row>
    <row r="13" spans="2:8" x14ac:dyDescent="0.25">
      <c r="B13" t="s">
        <v>14</v>
      </c>
      <c r="C13" s="29">
        <v>6656.71</v>
      </c>
      <c r="D13" s="30">
        <v>16413</v>
      </c>
      <c r="E13" s="29">
        <v>0.40557545847803572</v>
      </c>
      <c r="F13" s="31">
        <v>2.1893818417806994</v>
      </c>
      <c r="G13" s="29">
        <v>1.3297770060318042</v>
      </c>
      <c r="H13" s="32">
        <v>0.29251203314445867</v>
      </c>
    </row>
    <row r="14" spans="2:8" x14ac:dyDescent="0.25">
      <c r="B14" t="s">
        <v>15</v>
      </c>
      <c r="C14" s="29">
        <v>3621.9</v>
      </c>
      <c r="D14" s="30">
        <v>19091</v>
      </c>
      <c r="E14" s="29">
        <v>0.18971766801110471</v>
      </c>
      <c r="F14" s="31">
        <v>1.113904304370634</v>
      </c>
      <c r="G14" s="29">
        <v>0.292277512964224</v>
      </c>
      <c r="H14" s="32">
        <v>0.47875962495416691</v>
      </c>
    </row>
    <row r="15" spans="2:8" x14ac:dyDescent="0.25">
      <c r="B15" t="s">
        <v>16</v>
      </c>
      <c r="C15" s="29">
        <v>7081.7</v>
      </c>
      <c r="D15" s="30">
        <v>19680</v>
      </c>
      <c r="E15" s="29">
        <v>0.35984247967479671</v>
      </c>
      <c r="F15" s="31">
        <v>2.3347162404507391</v>
      </c>
      <c r="G15" s="29">
        <v>1.5660127032520326</v>
      </c>
      <c r="H15" s="32">
        <v>0.27433943089430896</v>
      </c>
    </row>
    <row r="17" spans="2:6" x14ac:dyDescent="0.25">
      <c r="B17" t="s">
        <v>34</v>
      </c>
      <c r="C17" t="s">
        <v>37</v>
      </c>
      <c r="D17" t="s">
        <v>38</v>
      </c>
    </row>
    <row r="18" spans="2:6" x14ac:dyDescent="0.25">
      <c r="B18" t="s">
        <v>11</v>
      </c>
      <c r="C18" s="29">
        <v>0.48990740292879226</v>
      </c>
      <c r="D18" s="31">
        <v>3.5849845493862587</v>
      </c>
      <c r="E18" s="29"/>
      <c r="F18" s="32"/>
    </row>
    <row r="19" spans="2:6" x14ac:dyDescent="0.25">
      <c r="B19" t="s">
        <v>8</v>
      </c>
      <c r="C19" s="29">
        <v>0.18331279910396089</v>
      </c>
      <c r="D19" s="31">
        <v>3.3500526296786948</v>
      </c>
      <c r="E19" s="29"/>
      <c r="F19" s="32"/>
    </row>
    <row r="20" spans="2:6" x14ac:dyDescent="0.25">
      <c r="B20" t="s">
        <v>7</v>
      </c>
      <c r="C20" s="29">
        <v>0.36781777262501647</v>
      </c>
      <c r="D20" s="31">
        <v>2.8827474130286896</v>
      </c>
      <c r="E20" s="29"/>
      <c r="F20" s="32"/>
    </row>
    <row r="21" spans="2:6" x14ac:dyDescent="0.25">
      <c r="B21" t="s">
        <v>16</v>
      </c>
      <c r="C21" s="29">
        <v>0.35984247967479671</v>
      </c>
      <c r="D21" s="31">
        <v>2.3347162404507391</v>
      </c>
      <c r="E21" s="29"/>
      <c r="F21" s="32"/>
    </row>
    <row r="22" spans="2:6" x14ac:dyDescent="0.25">
      <c r="B22" t="s">
        <v>6</v>
      </c>
      <c r="C22" s="29">
        <v>0.3140268944595882</v>
      </c>
      <c r="D22" s="31">
        <v>2.3233019674469069</v>
      </c>
      <c r="E22" s="29"/>
      <c r="F22" s="32"/>
    </row>
    <row r="24" spans="2:6" x14ac:dyDescent="0.25">
      <c r="B24" t="s">
        <v>34</v>
      </c>
      <c r="C24" t="s">
        <v>37</v>
      </c>
      <c r="D24" t="s">
        <v>39</v>
      </c>
    </row>
    <row r="25" spans="2:6" x14ac:dyDescent="0.25">
      <c r="B25" t="s">
        <v>11</v>
      </c>
      <c r="C25" s="29">
        <v>0.48990740292879226</v>
      </c>
      <c r="D25" s="29">
        <v>2.5663213259556223</v>
      </c>
    </row>
    <row r="26" spans="2:6" x14ac:dyDescent="0.25">
      <c r="B26" t="s">
        <v>16</v>
      </c>
      <c r="C26" s="29">
        <v>0.35984247967479671</v>
      </c>
      <c r="D26" s="29">
        <v>1.5660127032520326</v>
      </c>
    </row>
    <row r="27" spans="2:6" x14ac:dyDescent="0.25">
      <c r="B27" t="s">
        <v>6</v>
      </c>
      <c r="C27" s="29">
        <v>0.3140268944595882</v>
      </c>
      <c r="D27" s="29">
        <v>1.3939632522513272</v>
      </c>
    </row>
    <row r="28" spans="2:6" x14ac:dyDescent="0.25">
      <c r="B28" t="s">
        <v>7</v>
      </c>
      <c r="C28" s="29">
        <v>0.36781777262501647</v>
      </c>
      <c r="D28" s="29">
        <v>0.98662688152576172</v>
      </c>
    </row>
    <row r="29" spans="2:6" x14ac:dyDescent="0.25">
      <c r="B29" t="s">
        <v>8</v>
      </c>
      <c r="C29" s="29">
        <v>0.18331279910396089</v>
      </c>
      <c r="D29" s="29">
        <v>0.84025608390184303</v>
      </c>
    </row>
    <row r="31" spans="2:6" x14ac:dyDescent="0.25">
      <c r="B31" t="s">
        <v>1</v>
      </c>
      <c r="C31" t="s">
        <v>260</v>
      </c>
      <c r="D31" t="s">
        <v>46</v>
      </c>
    </row>
    <row r="32" spans="2:6" x14ac:dyDescent="0.25">
      <c r="B32" t="s">
        <v>6</v>
      </c>
      <c r="C32" s="59">
        <v>30</v>
      </c>
      <c r="D32" s="4">
        <f>'Simplified Performance Table'!E3</f>
        <v>0.32861318049354737</v>
      </c>
    </row>
    <row r="33" spans="2:4" x14ac:dyDescent="0.25">
      <c r="B33" t="s">
        <v>6</v>
      </c>
      <c r="C33" s="59">
        <v>90</v>
      </c>
      <c r="D33" s="4">
        <f>'Simplified Performance Table'!F3</f>
        <v>0.21359856732080579</v>
      </c>
    </row>
    <row r="34" spans="2:4" x14ac:dyDescent="0.25">
      <c r="B34" t="s">
        <v>7</v>
      </c>
      <c r="C34" s="59">
        <v>30</v>
      </c>
      <c r="D34" s="4">
        <f>'Simplified Performance Table'!E4</f>
        <v>0.25414829900682756</v>
      </c>
    </row>
    <row r="35" spans="2:4" x14ac:dyDescent="0.25">
      <c r="B35" t="s">
        <v>7</v>
      </c>
      <c r="C35" s="59">
        <v>90</v>
      </c>
      <c r="D35" s="4">
        <f>'Simplified Performance Table'!F4</f>
        <v>0.16519639435443792</v>
      </c>
    </row>
    <row r="36" spans="2:4" x14ac:dyDescent="0.25">
      <c r="B36" t="s">
        <v>8</v>
      </c>
      <c r="C36" s="59">
        <v>30</v>
      </c>
      <c r="D36" s="4">
        <f>'Simplified Performance Table'!E5</f>
        <v>0.29070359433866205</v>
      </c>
    </row>
    <row r="37" spans="2:4" x14ac:dyDescent="0.25">
      <c r="B37" t="s">
        <v>8</v>
      </c>
      <c r="C37" s="59">
        <v>90</v>
      </c>
      <c r="D37" s="4">
        <f>'Simplified Performance Table'!F5</f>
        <v>0.18895733632013034</v>
      </c>
    </row>
    <row r="38" spans="2:4" x14ac:dyDescent="0.25">
      <c r="B38" t="s">
        <v>11</v>
      </c>
      <c r="C38" s="59">
        <v>30</v>
      </c>
      <c r="D38" s="4">
        <f>'Simplified Performance Table'!E6</f>
        <v>0.46196307560445665</v>
      </c>
    </row>
    <row r="39" spans="2:4" x14ac:dyDescent="0.25">
      <c r="B39" t="s">
        <v>11</v>
      </c>
      <c r="C39" s="59">
        <v>90</v>
      </c>
      <c r="D39" s="4">
        <f>'Simplified Performance Table'!F6</f>
        <v>0.30027599914289682</v>
      </c>
    </row>
    <row r="40" spans="2:4" x14ac:dyDescent="0.25">
      <c r="B40" t="s">
        <v>16</v>
      </c>
      <c r="C40" s="59">
        <v>30</v>
      </c>
      <c r="D40" s="4">
        <f>'Simplified Performance Table'!E7</f>
        <v>0.27433943089430896</v>
      </c>
    </row>
    <row r="41" spans="2:4" x14ac:dyDescent="0.25">
      <c r="B41" t="s">
        <v>16</v>
      </c>
      <c r="C41" s="59">
        <v>90</v>
      </c>
      <c r="D41" s="4">
        <f>'Simplified Performance Table'!F7</f>
        <v>0.17832063008130083</v>
      </c>
    </row>
  </sheetData>
  <autoFilter ref="B24:D29" xr:uid="{2B503C95-65EC-41A6-8762-AB209BE93059}">
    <sortState xmlns:xlrd2="http://schemas.microsoft.com/office/spreadsheetml/2017/richdata2" ref="B25:D29">
      <sortCondition descending="1" ref="D24:D2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UA Investment Analysis</vt:lpstr>
      <vt:lpstr>Simplified Performance Table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Rodriguez</cp:lastModifiedBy>
  <dcterms:created xsi:type="dcterms:W3CDTF">2026-03-01T06:59:57Z</dcterms:created>
  <dcterms:modified xsi:type="dcterms:W3CDTF">2026-03-09T01:46:36Z</dcterms:modified>
</cp:coreProperties>
</file>